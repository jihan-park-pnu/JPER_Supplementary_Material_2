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PL-005\Desktop\"/>
    </mc:Choice>
  </mc:AlternateContent>
  <xr:revisionPtr revIDLastSave="0" documentId="8_{DD6630FF-FB79-418E-8862-398D3E6ACC53}" xr6:coauthVersionLast="47" xr6:coauthVersionMax="47" xr10:uidLastSave="{00000000-0000-0000-0000-000000000000}"/>
  <bookViews>
    <workbookView xWindow="38280" yWindow="-75" windowWidth="38640" windowHeight="21120" xr2:uid="{D5AEA7EC-FE5E-44E3-9A8A-B0B3ED0F8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3" i="1" l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<sst xmlns="http://schemas.openxmlformats.org/spreadsheetml/2006/main" count="2355" uniqueCount="1826">
  <si>
    <t>Authors</t>
  </si>
  <si>
    <t>Article Title</t>
    <phoneticPr fontId="2" type="noConversion"/>
  </si>
  <si>
    <t>Source Title</t>
  </si>
  <si>
    <t>DOI Link</t>
  </si>
  <si>
    <t>Venner, K; García-Lamarca, M; Olazabal, M</t>
  </si>
  <si>
    <t>The Multi-Scalar Inequities of Climate Adaptation Finance: A Critical Review</t>
  </si>
  <si>
    <t>CURRENT CLIMATE CHANGE REPORTS</t>
  </si>
  <si>
    <t>Grasso, M</t>
  </si>
  <si>
    <t>An ethical approach to climate adaptation finance</t>
  </si>
  <si>
    <t>GLOBAL ENVIRONMENTAL CHANGE-HUMAN AND POLICY DIMENSIONS</t>
  </si>
  <si>
    <t>Rudge, K</t>
  </si>
  <si>
    <t>Leveraging critical race theory to produce equitable climate change adaptation</t>
  </si>
  <si>
    <t>NATURE CLIMATE CHANGE</t>
  </si>
  <si>
    <t>Brousseau, JJ; Stern, MJ; Pownall, M; Hansen, LJ</t>
  </si>
  <si>
    <t>Understanding how justice is considered in climate adaptation approaches: a qualitative review of climate adaptation plans</t>
  </si>
  <si>
    <t>LOCAL ENVIRONMENT</t>
  </si>
  <si>
    <t>Brousseau, JJ; Stern, MJ; Hansen, LJ</t>
  </si>
  <si>
    <t>Unequal considerations of justice in municipal adaptation planning: an assessment of US climate plans over time and by context</t>
  </si>
  <si>
    <t>Coggins, S; Berrang-Ford, L; Hyams, K; Satyal, P; Ford, J; Paavola, J; Arotoma-Rojas, I; Harper, S</t>
  </si>
  <si>
    <t>Empirical assessment of equity and justice in climate adaptation literature: a systematic map</t>
  </si>
  <si>
    <t>ENVIRONMENTAL RESEARCH LETTERS</t>
  </si>
  <si>
    <t>Mohtat, N; Khirfan, L</t>
  </si>
  <si>
    <t>The climate justice pillars vis-`a-vis urban form adaptation to climate change: A review</t>
  </si>
  <si>
    <t>URBAN CLIMATE</t>
  </si>
  <si>
    <t>Kruse, T; Atkinson, G</t>
  </si>
  <si>
    <t>Understanding public support for international climate adaptation payments: Evidence from a choice experiment</t>
  </si>
  <si>
    <t>ECOLOGICAL ECONOMICS</t>
  </si>
  <si>
    <t>Pike, K; Nesbitt, L; Conway, T; Day, SD; Konijnendijk, C</t>
  </si>
  <si>
    <t>What is equitable urban forest governance? A systematic literature review</t>
  </si>
  <si>
    <t>ENVIRONMENTAL SCIENCE &amp; POLICY</t>
  </si>
  <si>
    <t>Juhola, S; Heikkinen, M; Pietilä, T; Groundstroem, F; Käyhkö, J</t>
  </si>
  <si>
    <t>Connecting climate justice and adaptation planning: An adaptation justice index</t>
  </si>
  <si>
    <t>Garrison, JD; Martinez, S</t>
  </si>
  <si>
    <t>When mitigation is not just mitigation: Defining (and diffusing) tensions between climate mitigation, adaptation, and justice</t>
  </si>
  <si>
    <t>LANDSCAPE AND URBAN PLANNING</t>
  </si>
  <si>
    <t>Mostafa, M; Rahman, MF; Huq, S</t>
  </si>
  <si>
    <t>Climate adaptation funding: Getting the money to those who need it</t>
  </si>
  <si>
    <t>BULLETIN OF THE ATOMIC SCIENTISTS</t>
  </si>
  <si>
    <t>Eisenstadt, TA; Olawole, I; Toman, MA</t>
  </si>
  <si>
    <t>Climate Adaptation Finance in World Bank Economic Development Programs: The Challenges of Systemic Transformation via Scaling Up</t>
  </si>
  <si>
    <t>SUSTAINABILITY</t>
  </si>
  <si>
    <t>Pearson, AR; Tsai, CG; Clayton, S</t>
  </si>
  <si>
    <t>Ethics, morality, and the psychology of climate justice</t>
  </si>
  <si>
    <t>CURRENT OPINION IN PSYCHOLOGY</t>
  </si>
  <si>
    <t>Khan, M; Robinson, SA; Weikmans, R; Ciplet, D; Roberts, JT</t>
  </si>
  <si>
    <t>Twenty-five years of adaptation finance through a climate justice lens</t>
  </si>
  <si>
    <t>CLIMATIC CHANGE</t>
  </si>
  <si>
    <t>Hughes, S</t>
  </si>
  <si>
    <t>Principles, drivers, and policy tools for just climate change adaptation in legacy cities</t>
  </si>
  <si>
    <t>See, J; Wilmsen, B</t>
  </si>
  <si>
    <t>A multidimensional framework for assessing adaptative justice: a case study of a small island community in the Philippines</t>
  </si>
  <si>
    <t>Cannon, CEB; Chu, EK; Natekal, A; Waaland, G</t>
  </si>
  <si>
    <t>Institutional Designs for Procedural Justice and Inclusion in Urban Climate Change Adaptation</t>
  </si>
  <si>
    <t>JOURNAL OF PLANNING EDUCATION AND RESEARCH</t>
  </si>
  <si>
    <t>Mullenbach, LE; Stanis, SAW</t>
  </si>
  <si>
    <t>Climate change adaptation plans: Inclusion of health, equity, and green space</t>
  </si>
  <si>
    <t>JOURNAL OF URBAN AFFAIRS</t>
  </si>
  <si>
    <t>Granberg, M; Glover, L</t>
  </si>
  <si>
    <t>The Climate Just City</t>
  </si>
  <si>
    <t>Satyal, P; Byskov, MF; Hyams, K</t>
  </si>
  <si>
    <t>Addressing multi-dimensional injustice in indigenous adaptation: the case of Uganda's Batwa community</t>
  </si>
  <si>
    <t>CLIMATE AND DEVELOPMENT</t>
  </si>
  <si>
    <t>McGinn, A; Isenhour, C</t>
  </si>
  <si>
    <t>Negotiating the future of the Adaptation Fund: on the politics of defining and defending justice in the post-Paris Agreement period</t>
  </si>
  <si>
    <t>CLIMATE POLICY</t>
  </si>
  <si>
    <t>Browne, KE; Razafiarimanana, C; Jogannah, R</t>
  </si>
  <si>
    <t>Informal institutions and Imperfect Equity in internationally financed adaptation in Madagascar and Mauritius</t>
  </si>
  <si>
    <t>WORLD DEVELOPMENT</t>
  </si>
  <si>
    <t>Mori, A; Rahman, SM; Uddin, MN</t>
  </si>
  <si>
    <t>Climate Financing Through the Adaptation Fund: What Determines Fund Allocation?</t>
  </si>
  <si>
    <t>JOURNAL OF ENVIRONMENT &amp; DEVELOPMENT</t>
  </si>
  <si>
    <t>Klonschinski, A</t>
  </si>
  <si>
    <t>Universal Metrics for Climate Change Adaptation Finance? A Cautionary Tale</t>
  </si>
  <si>
    <t>Pannier, E; Vu, TC; Espagne, E; Pulliat, G; Nguyen, TTH</t>
  </si>
  <si>
    <t>The Three Dialectics of Adaptation Finance in Vietnam</t>
  </si>
  <si>
    <t>Fiack, D; Cumberbatch, J; Sutherland, M; Zerphey, N</t>
  </si>
  <si>
    <t>Sustainable adaptation: Social equity and local climate adaptation planning in US cities</t>
  </si>
  <si>
    <t>CITIES</t>
  </si>
  <si>
    <t>Mummery, J; Mummery, J</t>
  </si>
  <si>
    <t>Transformative climate change adaptation: bridging existing approaches with post-foundational insights on justice</t>
  </si>
  <si>
    <t>Mizuno, O</t>
  </si>
  <si>
    <t>Adaptation: is securing funding really the top priority for COP negotiations?</t>
  </si>
  <si>
    <t>SUSTAINABILITY SCIENCE</t>
  </si>
  <si>
    <t>Mills-Novoa, M</t>
  </si>
  <si>
    <t>What happens after climate change adaptation projects end: A community-based approach to ex-post assessment of adaptation projects</t>
  </si>
  <si>
    <t>Snep, RPH; Klostermann, J; Lehner, M; Weppelman, I</t>
  </si>
  <si>
    <t>Social housing as focus area for Nature-based Solutions to strengthen urban resilience and justice: Lessons from practice in the Netherlands</t>
  </si>
  <si>
    <t>Foster, SR; Baptista, A; Nguyen, KH; Tchen, J; Tedesco, M; Leichenko, R</t>
  </si>
  <si>
    <t>NPCC4: Advancing climate justice in climate adaptation strategies for New York City</t>
  </si>
  <si>
    <t>ANNALS OF THE NEW YORK ACADEMY OF SCIENCES</t>
  </si>
  <si>
    <t>Pauw, P</t>
  </si>
  <si>
    <t>The role of perception in subsistence farmer adaptation in Africa Enriching the climate finance debate</t>
  </si>
  <si>
    <t>INTERNATIONAL JOURNAL OF CLIMATE CHANGE STRATEGIES AND MANAGEMENT</t>
  </si>
  <si>
    <t>Reckien, D; Magnan, AK; Singh, C; Lukas-Sithole, M; Orlove, B; Schipper, ELF; de Perez, EC</t>
  </si>
  <si>
    <t>Navigating the continuum between adaptation and maladaptation</t>
  </si>
  <si>
    <t>Participatory climate adaptation planning in New York City: Analyzing the role of community-based organizations</t>
  </si>
  <si>
    <t>Omukuti, J</t>
  </si>
  <si>
    <t>Challenging the obsession with local level institutions in country ownership of climate change adaptation</t>
  </si>
  <si>
    <t>LAND USE POLICY</t>
  </si>
  <si>
    <t>Chirisa, I; Gumbo, T; Gundu-Jakarasi, VN; Zhakata, W; Karakadzai, T; Dipura, R; Moyo, T</t>
  </si>
  <si>
    <t>Interrogating Climate Adaptation Financing in Zimbabwe: Proposed Direction</t>
  </si>
  <si>
    <t>Stadelmann, M; Persson, Å; Ratajczak-Juszko, I; Michaelowa, A</t>
  </si>
  <si>
    <t>Equity and cost-effectiveness of multilateral adaptation finance: are they friends or foes?</t>
  </si>
  <si>
    <t>INTERNATIONAL ENVIRONMENTAL AGREEMENTS-POLITICS LAW AND ECONOMICS</t>
  </si>
  <si>
    <t>Barkai, KR; Winkler, H</t>
  </si>
  <si>
    <t>Developing a framework for assessing equity in national contributions to the global goal on adaptation</t>
  </si>
  <si>
    <t>Smith, JB; Dickinson, T; Donahue, JDB; Burton, I; Haites, E; Klein, RJT; Patwardhan, A</t>
  </si>
  <si>
    <t>Development and climate change adaptation funding: coordination and integration</t>
  </si>
  <si>
    <t>Gray, I</t>
  </si>
  <si>
    <t>Marketization as political technology: unintended consequences of climate finance in the Democratic Republic of Congo</t>
  </si>
  <si>
    <t>ECONOMY AND SOCIETY</t>
  </si>
  <si>
    <t>Biella, R; Mazzoleni, M; Brandimarte, L; Di Baldassarre, G</t>
  </si>
  <si>
    <t>Thinking systemically about climate services: Using archetypes to reveal maladaptation</t>
  </si>
  <si>
    <t>CLIMATE SERVICES</t>
  </si>
  <si>
    <t>Jafino, BA; Kwakkel, JH; Taebi, B</t>
  </si>
  <si>
    <t>Enabling assessment of distributive justice through models for climate change planning: A review of recent advances and a research agenda</t>
  </si>
  <si>
    <t>WILEY INTERDISCIPLINARY REVIEWS-CLIMATE CHANGE</t>
  </si>
  <si>
    <t>Chu, EK; Cannon, CEB</t>
  </si>
  <si>
    <t>Equity, inclusion, and justice as criteria for decision-making on climate adaptation in cities</t>
  </si>
  <si>
    <t>CURRENT OPINION IN ENVIRONMENTAL SUSTAINABILITY</t>
  </si>
  <si>
    <t>Pauw, WP</t>
  </si>
  <si>
    <t>Not a panacea: private-sector engagement in adaptation and adaptation finance in developing countries</t>
  </si>
  <si>
    <t>Donner, SD; Kandlikar, M; Webber, S</t>
  </si>
  <si>
    <t>Measuring and tracking the flow of climate change adaptation aid to the developing world</t>
  </si>
  <si>
    <t>Kerr, RB</t>
  </si>
  <si>
    <t>Maladaptation in food systems and ways to avoid it</t>
  </si>
  <si>
    <t>Anderson, MJ; Conrow, L; Hobbs, M; Paulik, R; Blackett, P; Logan, T</t>
  </si>
  <si>
    <t>Distributional justice and climate risk assessment: An analysis of disparities within direct and indirect risk</t>
  </si>
  <si>
    <t>RISK ANALYSIS</t>
  </si>
  <si>
    <t>See, J; Fuentes, AS; Porio, E; Wilmsen, B</t>
  </si>
  <si>
    <t>Conceptualising and enacting pathways to transformative climate justice: examples from the Philippines</t>
  </si>
  <si>
    <t>Garschagen, M; Doshi, D</t>
  </si>
  <si>
    <t>Does funds-based adaptation finance reach the most vulnerable countries?</t>
  </si>
  <si>
    <t>Cabannes, Y</t>
  </si>
  <si>
    <t>Contributions of participatory budgeting to climate change adaptation and mitigation: current local practices across the world and lessons from the field</t>
  </si>
  <si>
    <t>ENVIRONMENT AND URBANIZATION</t>
  </si>
  <si>
    <t>Yang, H; Lee, T; Juhola, S</t>
  </si>
  <si>
    <t>The old and the climate adaptation: Climate justice, risks, and urban adaptation plan</t>
  </si>
  <si>
    <t>SUSTAINABLE CITIES AND SOCIETY</t>
  </si>
  <si>
    <t>Asare-Nuamah, P; Dick-Sagoe, C; Ayivor, R</t>
  </si>
  <si>
    <t>Farmers' maladaptation: Eroding sustainable development, rebounding and shifting vulnerability in smallholder agriculture system</t>
  </si>
  <si>
    <t>ENVIRONMENTAL DEVELOPMENT</t>
  </si>
  <si>
    <t>Ciplet, D; Roberts, JT; Khan, M</t>
  </si>
  <si>
    <t>The Politics of International Climate Adaptation Funding: Justice and Divisions in the Greenhouse</t>
  </si>
  <si>
    <t>GLOBAL ENVIRONMENTAL POLITICS</t>
  </si>
  <si>
    <t>Wenta, J; McDonald, J; McGee, JS</t>
  </si>
  <si>
    <t>Enhancing Resilience and Justice in Climate Adaptation Laws</t>
  </si>
  <si>
    <t>TRANSNATIONAL ENVIRONMENTAL LAW</t>
  </si>
  <si>
    <t>Dannevig, H; Hovelsrud, GK; Husabo, IA</t>
  </si>
  <si>
    <t>Driving the agenda for climate change adaptation in Norwegian municipalities</t>
  </si>
  <si>
    <t>ENVIRONMENT AND PLANNING C-GOVERNMENT AND POLICY</t>
  </si>
  <si>
    <t>Khan, MR; Munira, S</t>
  </si>
  <si>
    <t>Climate change adaptation as a global public good: implications for financing</t>
  </si>
  <si>
    <t>Moser, SC; Ekstrom, JA; Kim, J; Heitsch, S</t>
  </si>
  <si>
    <t>Adaptation finance archetypes: local governments' persistent challenges of funding adaptation to climate change and ways to overcome them</t>
  </si>
  <si>
    <t>ECOLOGY AND SOCIETY</t>
  </si>
  <si>
    <t>Incerti, N; Barnett, J</t>
  </si>
  <si>
    <t>Following the money: climate adaptation finance in the Marshall Islands</t>
  </si>
  <si>
    <t>Kim, H; Kim, H; Woosnam, KM; Jang, W</t>
  </si>
  <si>
    <t>Between risk perceptions and adaptation policies: centering climate justice and social innovation in heat vulnerable cities</t>
  </si>
  <si>
    <t>JOURNAL OF ENVIRONMENTAL POLICY &amp; PLANNING</t>
  </si>
  <si>
    <t>Martinez, DJ; Meadow, AM; Manning, BRM; Maldonado, J</t>
  </si>
  <si>
    <t>Climate Justice and Climate Adaptation in California: Indigenous Community Climate Adaptation Leadership and Opportunities for Scientific Collaboration</t>
  </si>
  <si>
    <t>WEATHER CLIMATE AND SOCIETY</t>
  </si>
  <si>
    <t>Ruhl, JB; Salzman, J</t>
  </si>
  <si>
    <t>CLIMATE CHANGE MEETS THE LAW OF THE HORSE</t>
    <phoneticPr fontId="2" type="noConversion"/>
  </si>
  <si>
    <t>DUKE LAW JOURNAL</t>
  </si>
  <si>
    <t/>
  </si>
  <si>
    <t>Prall, M; Olazabal, M; Lehmann, M</t>
  </si>
  <si>
    <t>Socio-economic projections in urban climate change adaptation planning: Practices and prospects for just adaptation</t>
  </si>
  <si>
    <t>HABITAT INTERNATIONAL</t>
  </si>
  <si>
    <t>Domingue, SJ</t>
  </si>
  <si>
    <t>Ground Zero for Climate Crisis: Narratives About Climate Adaptation and Implications for Justice in Coastal Louisiana</t>
  </si>
  <si>
    <t>SOCIOLOGICAL INQUIRY</t>
  </si>
  <si>
    <t>Omukuti, J; Barrett, S; White, PCL; Marchant, R; Averchenkova, A</t>
  </si>
  <si>
    <t>The green climate fund and its shortcomings in local delivery of adaptation finance</t>
  </si>
  <si>
    <t>Haque, MN; Sharifi, A</t>
  </si>
  <si>
    <t>Justice in access to urban ecosystem services: A critical review of the literature</t>
  </si>
  <si>
    <t>ECOSYSTEM SERVICES</t>
  </si>
  <si>
    <t>Juhola, S; Glaas, E; Linnér, BO; Neset, TS</t>
  </si>
  <si>
    <t>Redefining maladaptation</t>
  </si>
  <si>
    <t>Schultz, KH</t>
  </si>
  <si>
    <t>Financing climate adaptation with a credit mechanism: initial considerations</t>
  </si>
  <si>
    <t>Dagli, W</t>
  </si>
  <si>
    <t>Central and peripheral adaptation pathways of entangled agrifood systems transformations</t>
  </si>
  <si>
    <t>FRONTIERS IN SUSTAINABLE FOOD SYSTEMS</t>
  </si>
  <si>
    <t>Pauw, P; Pegels, A</t>
  </si>
  <si>
    <t>Private sector engagement in climate change adaptation in least developed countries: an exploration</t>
  </si>
  <si>
    <t>Herreros-Cantis, P; Hoffman, L; Kennedy, C; Kim, Y; Charles, J; Gillet, V; Getzin, A; Littlefield, D; Zielinski, A; Bernstein, J; Settle-Robbinson, R; Langemeyer, J; Neumann, M; Mcphearson, T</t>
  </si>
  <si>
    <t>Co-producing research and data visualization for environmental justice advocacy in climate change adaptation: The Milwaukee Flood-Health Vulnerability Assessment</t>
  </si>
  <si>
    <t>Gallez, E; Canters, F; Gadeyne, S; Baró, F</t>
  </si>
  <si>
    <t>A multi-indicator distributive justice approach to assess school-related green infrastructure benefits in Brussels</t>
  </si>
  <si>
    <t>Carey, M; French, A; O'Brien, E</t>
  </si>
  <si>
    <t>Unintended effects of technology on climate change adaptation: an historical analysis of water conflicts below Andean Glaciers</t>
  </si>
  <si>
    <t>JOURNAL OF HISTORICAL GEOGRAPHY</t>
  </si>
  <si>
    <t>Palframan, A</t>
  </si>
  <si>
    <t>In common nature: an ethnography of climate adaptation in the Lesotho Highlands</t>
  </si>
  <si>
    <t>Holland, B</t>
  </si>
  <si>
    <t>Procedural justice in local climate adaptation: political capabilities and transformational change</t>
  </si>
  <si>
    <t>ENVIRONMENTAL POLITICS</t>
  </si>
  <si>
    <t>Du, HM; Dang, KK; Nguyen, HQ; van Rijswick, HFMW</t>
  </si>
  <si>
    <t>A framework for reviewing laws and policies for climate resilience: the case of the Vietnamese Mekong Delta</t>
  </si>
  <si>
    <t>JOURNAL OF ENVIRONMENTAL PLANNING AND MANAGEMENT</t>
  </si>
  <si>
    <t>Hughes, S; Hoffmann, M</t>
  </si>
  <si>
    <t>Just urban transitions: Toward a research agenda</t>
  </si>
  <si>
    <t>Manuamorn, OP; Biesbroek, R</t>
  </si>
  <si>
    <t>Do direct-access and indirect-access adaptation projects differ in their focus on local communities? A systematic analysis of 63 Adaptation Fund projects</t>
  </si>
  <si>
    <t>REGIONAL ENVIRONMENTAL CHANGE</t>
  </si>
  <si>
    <t>Hyde-Smith, L; Roelich, K; Mdee, A; Zhan, Z; Evans, B</t>
  </si>
  <si>
    <t>Blinded by the 'green-halo'? Equity in financing climate adaptation of urban sanitation</t>
  </si>
  <si>
    <t>ENVIRONMENT AND PLANNING E-NATURE AND SPACE</t>
  </si>
  <si>
    <t>Tubi, A; Williams, J</t>
  </si>
  <si>
    <t>Beyond binary outcomes in climate adaptation: The illustrative case of desalination</t>
  </si>
  <si>
    <t>Manuamorn, OP; Biesbroek, R; Cebotari, V</t>
  </si>
  <si>
    <t>What makes internationally-financed climate change adaptation projects focus on local communities? A configurational analysis of 30 Adaptation Fund projects</t>
  </si>
  <si>
    <t>Timilsina, GR</t>
  </si>
  <si>
    <t>Financing Climate Change Adaptation: International Initiatives</t>
  </si>
  <si>
    <t>Chu, EK</t>
  </si>
  <si>
    <t>Urban climate adaptation and the reshaping of state-society relations: The politics of community knowledge and mobilisation in Indore, India</t>
  </si>
  <si>
    <t>URBAN STUDIES</t>
  </si>
  <si>
    <t>Herreros-Cantis, P; McPhearson, T</t>
  </si>
  <si>
    <t>Mapping supply of and demand for ecosystem services to assess environmental justice in New York City</t>
  </si>
  <si>
    <t>ECOLOGICAL APPLICATIONS</t>
  </si>
  <si>
    <t>Johnson, DE; Parsons, M; Fisher, K</t>
  </si>
  <si>
    <t>Indigenous climate change adaptation: New directions for emerging scholarship</t>
  </si>
  <si>
    <t>van den Berg, HJ; Keenan, JM</t>
  </si>
  <si>
    <t>Dynamic vulnerability in the pursuit of just adaptation processes: A Boston case study</t>
  </si>
  <si>
    <t>Anguelovski, I; Corbera, E</t>
  </si>
  <si>
    <t>Integrating justice in Nature-Based Solutions to avoid nature-enabled dispossession</t>
  </si>
  <si>
    <t>AMBIO</t>
  </si>
  <si>
    <t>Prasad, RS; Sud, R</t>
  </si>
  <si>
    <t>Implementing climate change adaptation: lessons from India's national adaptation fund on climate change (NAFCC)</t>
  </si>
  <si>
    <t>Robinson, SA; Roberts, JT; Weikmans, R; Falzon, D</t>
  </si>
  <si>
    <t>Vulnerability-based allocations in loss and damage finance</t>
  </si>
  <si>
    <t>Davies, AR; Hügel, S</t>
  </si>
  <si>
    <t>Just Adapt: Engaging Disadvantaged Young People in Planning for Climate Adaptation</t>
  </si>
  <si>
    <t>POLITICS AND GOVERNANCE</t>
  </si>
  <si>
    <t>Parsons, M; Taylor, L; Crease, R</t>
  </si>
  <si>
    <t>Indigenous Environmental Justice within Marine Ecosystems: A Systematic Review of the Literature on Indigenous Peoples' Involvement in Marine Governance and Management</t>
  </si>
  <si>
    <t>Ware, D; Banhalmi-Zakar, Z</t>
  </si>
  <si>
    <t>Strategies for governments to help close the coastal adaptation funding gap</t>
  </si>
  <si>
    <t>OCEAN &amp; COASTAL MANAGEMENT</t>
  </si>
  <si>
    <t>Farina, G; Neverre, N; Hérivaux, C; Barriere, J; Pinson, S; Habarou, H; Pereau, JC; Le Coënt, P</t>
  </si>
  <si>
    <t>How to account for spatial trade-offs in planning for urban climate adaptation? Optimizing green and grey infrastructures</t>
  </si>
  <si>
    <t>JOURNAL OF ENVIRONMENTAL MANAGEMENT</t>
  </si>
  <si>
    <t>Wood, BT; Dougill, AJ; Quinn, CH; Stringer, LC</t>
  </si>
  <si>
    <t>Exploring Power and Procedural Justice Within Climate Compatible Development Project Design: Whose Priorities Are Being Considered?</t>
  </si>
  <si>
    <t>Lam, RYH; Delina, LL</t>
  </si>
  <si>
    <t>Financing structural and non-structural extreme heat adaptation measures in Southeast Asian cities: statuses and prospects</t>
  </si>
  <si>
    <t>ENVIRONMENTAL RESEARCH COMMUNICATIONS</t>
  </si>
  <si>
    <t>Findlater, K; Hagerman, S; Kozak, R; Gukova, V</t>
  </si>
  <si>
    <t>Redefining climate change maladaptation using a values-based approach in forests</t>
  </si>
  <si>
    <t>PEOPLE AND NATURE</t>
  </si>
  <si>
    <t>Chi, CF; Lu, SY; Hallgren, W; Ware, D; Tomlinson, R</t>
  </si>
  <si>
    <t>Role of Spatial Analysis in Avoiding Climate Change Maladaptation: A Systematic Review</t>
  </si>
  <si>
    <t>Hannah, L; Ikegami, M; Hole, DG; Seo, C; Butchart, SHM; Peterson, AT; Roehrdanz, PR</t>
  </si>
  <si>
    <t>Global Climate Change Adaptation Priorities for Biodiversity and Food Security</t>
  </si>
  <si>
    <t>PLOS ONE</t>
  </si>
  <si>
    <t>McNeeley, SM</t>
  </si>
  <si>
    <t>Sustainable Climate Change Adaptation in Indian Country</t>
  </si>
  <si>
    <t>Ibrahim, MA; Johansson, M</t>
  </si>
  <si>
    <t>Combating climate change-What, where and how to implement adaptive measures in the agriculture sector of O?land, Sweden, keeping in view the constraints of carrying capacities and risk of maladaptation</t>
  </si>
  <si>
    <t>Deenapanray, PNK; Trærup, S</t>
  </si>
  <si>
    <t>Technology needs assessment for climate change adaptation: Experiences of Mauritius and Seychelles</t>
  </si>
  <si>
    <t>Country ownership of adaptation: Stakeholder influence or government control?</t>
  </si>
  <si>
    <t>GEOFORUM</t>
  </si>
  <si>
    <t>Hilser, H; Cox, E; Moreau, C; Hiraldo, L; Draiby, A; Winks, L; Andrews, MG; Walworth, NG</t>
  </si>
  <si>
    <t>Localized governance of carbon dioxide removal in small island developing states</t>
  </si>
  <si>
    <t>Roy, J; Prakash, A; Some, S; Singh, C; Kerr, RB; Caretta, MA; Conde, C; Ferre, MR; Schuster-Wallace, C; Tirado-von der Pahlen, MC; Totin, E; Vij, S; Baker, E; Dean, G; Hillenbrand, E; Irvine, A; Islam, F; McGlade, K; Nyantakyi-Frimpong, H; Ravera, F; Segnon, A; Solomon, D; Tandon, I</t>
  </si>
  <si>
    <t>Synergies and trade-offs between climate change adaptation options and gender equality: a review of the global literature</t>
  </si>
  <si>
    <t>HUMANITIES &amp; SOCIAL SCIENCES COMMUNICATIONS</t>
  </si>
  <si>
    <t>O'Donnell, T</t>
  </si>
  <si>
    <t>Managed retreat and planned retreat: a systematic literature review</t>
  </si>
  <si>
    <t>PHILOSOPHICAL TRANSACTIONS OF THE ROYAL SOCIETY B-BIOLOGICAL SCIENCES</t>
  </si>
  <si>
    <t>Dolsak, N; Prakash, A</t>
  </si>
  <si>
    <t>The Politics of Climate Change Adaptation</t>
  </si>
  <si>
    <t>ANNUAL REVIEW OF ENVIRONMENT AND RESOURCES, VOL 43</t>
  </si>
  <si>
    <t>Lioubimtseva, E; da Cunha, C</t>
  </si>
  <si>
    <t>Local climate change adaptation plans in the US and France: Comparison and lessons learned in 2007-2017</t>
  </si>
  <si>
    <t>Radonic, L; Zuniga-Teran, A</t>
  </si>
  <si>
    <t>When Governing Urban Waters Differently: Five Tenets for Socio-Environmental Justice in Urban Climate Adaptation Interventions</t>
  </si>
  <si>
    <t>Owusu-Daaku, KN; Rosko, H</t>
  </si>
  <si>
    <t>The discursive construction of adaptation subjects via the Ada Sea Defense System in the Volta River Delta of Ghana</t>
  </si>
  <si>
    <t>Neset, TS; Wiréhn, L; Klein, N; Käyhkö, J; Juhola, S</t>
  </si>
  <si>
    <t>Maladaptation in Nordic agriculture</t>
  </si>
  <si>
    <t>CLIMATE RISK MANAGEMENT</t>
  </si>
  <si>
    <t>Walker, SE; Smith, EA; Bennett, N; Bannister, E; Narayana, A; Nuckols, T; Velez, KP; Wrigley, J; Bailey, KM</t>
  </si>
  <si>
    <t>Defining and conceptualizing equity and justice in climate adaptation</t>
  </si>
  <si>
    <t>Puig, D</t>
  </si>
  <si>
    <t>Re-conceptualising climate change-driven 'loss and damage'</t>
  </si>
  <si>
    <t>INTERNATIONAL JOURNAL OF GLOBAL WARMING</t>
  </si>
  <si>
    <t>Grasso, VF; Dilley, M; Delju, A; Msemo, N</t>
  </si>
  <si>
    <t>A methodology for assessing climate services' needs: West Africa case study</t>
  </si>
  <si>
    <t>Kalaidjian, E; Robinson, SA</t>
  </si>
  <si>
    <t>Reviewing the nature and pitfalls of multilateral adaptation finance for small island developing states</t>
  </si>
  <si>
    <t>Klepp, S; Fünfgeld, H</t>
  </si>
  <si>
    <t>Tackling knowledge and power: an environmental justice perspective on climate change adaptation in Kiribati</t>
  </si>
  <si>
    <t>Wojewska, AN; Singh, C; Hansen, CP</t>
  </si>
  <si>
    <t>A policy tool for monitoring and evaluation of participation in adaptation projects</t>
  </si>
  <si>
    <t>Fenton, A; Gallagher, D; Wright, H; Huq, S; Nyandiga, C</t>
  </si>
  <si>
    <t>Up-scaling finance for community-based adaptation</t>
  </si>
  <si>
    <t>van Zyl-Bulitta, VH; Patt, A; Mudombi, S; Fabricius, C</t>
  </si>
  <si>
    <t>Unintended consequences of climate change adaptation: African case studies and typologies on pitfalls and windfalls</t>
  </si>
  <si>
    <t>DEVELOPMENT SOUTHERN AFRICA</t>
  </si>
  <si>
    <t>VanBuskirk, OG; Mullenbach, LE</t>
  </si>
  <si>
    <t>A scoping review of equitable climate adaptation research in US cities</t>
  </si>
  <si>
    <t>Galindo-Gutiérrez, J</t>
  </si>
  <si>
    <t>The World Bank and 'Maximizing Finance for Development': talk the talk but not walk the walk</t>
    <phoneticPr fontId="2" type="noConversion"/>
  </si>
  <si>
    <t>JOURNAL OF INTERNATIONAL RELATIONS AND DEVELOPMENT</t>
  </si>
  <si>
    <t>Webber, S</t>
  </si>
  <si>
    <t>Performative vulnerability: climate change adaptation policies and financing in Kiribati</t>
  </si>
  <si>
    <t>ENVIRONMENT AND PLANNING A-ECONOMY AND SPACE</t>
  </si>
  <si>
    <t>Brackel, L</t>
  </si>
  <si>
    <t>Continuous Negotiation in Climate Adaptation: The Challenge of Co-Evolution for the Capability Approach to Justice</t>
  </si>
  <si>
    <t>Shokry, G; Anguelovski, I; Connolly, JJT</t>
    <phoneticPr fontId="2" type="noConversion"/>
  </si>
  <si>
    <t>(Mis-)belonging to the climate-resilient city: Making place in multi-risk communities of racialized urban America</t>
  </si>
  <si>
    <t>Antwi-Agyei, P; Dougill, AJ; Stringer, LC; Codjoe, SNA</t>
  </si>
  <si>
    <t>Adaptation opportunities and maladaptive outcomes in climate vulnerability hotspots of northern Ghana</t>
  </si>
  <si>
    <t>Joshi, A; Chappin, E; Doorn, N</t>
  </si>
  <si>
    <t>Does Distributive Justice Improve Welfare Outcomes in Climate Adaptation? An Exploration Using an Agent-Based Model of a Stylized Social-Environmental System</t>
  </si>
  <si>
    <t>Owusu-Daaku, KN</t>
  </si>
  <si>
    <t>(Mal)Adaptation opportunism: when other interests take over stated or intended climate change adaptation objectives (and their unintended effects)</t>
  </si>
  <si>
    <t>Mustelin, J; Kuruppu, N; Kramer, AM; Daron, J; de Bruin, K; Noriega, AG</t>
  </si>
  <si>
    <t>Climate adaptation research for the next generation</t>
  </si>
  <si>
    <t>Lindbergh, S; He, YY; Radke, J</t>
  </si>
  <si>
    <t>Beyond carbon: Unveiling vulnerabilities of the transportation fuel system for climate resilience</t>
  </si>
  <si>
    <t>ENERGY RESEARCH &amp; SOCIAL SCIENCE</t>
  </si>
  <si>
    <t>Johnson, MS; Adams, VM; Byrne, J</t>
  </si>
  <si>
    <t>Enhancing climate adaptation: Integrating place-based risk perceptions and coastalscape values using Q plus PPGIS plus PPGIS</t>
  </si>
  <si>
    <t>Lyons, I; Hill, R; Deshong, S; Mooney, G; Turpin, G</t>
  </si>
  <si>
    <t>Putting uncertainty under the cultural lens of Traditional Owners from the Great Barrier Reef Catchments</t>
  </si>
  <si>
    <t>Taylor, JE; Poleacovschi, C; Perez, M</t>
  </si>
  <si>
    <t>Evaluating the climate change adaptation barriers of critical infrastructure in rural Alaska</t>
  </si>
  <si>
    <t>Wang, HL</t>
  </si>
  <si>
    <t>Socio-demographic disparities in the familiarity with coastal climate adaptation strategies: implications for coastal management and climate justice</t>
  </si>
  <si>
    <t>NATURAL HAZARDS</t>
  </si>
  <si>
    <t>Strange, KF; March, H; Satorras, M</t>
  </si>
  <si>
    <t>Incorporating climate justice into adaptation planning: The case of San Francisco</t>
  </si>
  <si>
    <t>Anguelovski, I; Shi, LD; Chu, E; Gallagher, D; Goh, K; Lamb, Z; Reeve, K; Teicher, H</t>
  </si>
  <si>
    <t>Equity Impacts of Urban Land Use Planning for Climate Adaptation: Critical Perspectives from the Global North and South</t>
  </si>
  <si>
    <t>Araos, M; Jagannathan, K; Shukla, R; Ajibade, I; de Perez, EC; Davis, K; Ford, JD; Galappaththi, EK; Grady, C; Hudson, AJ; Joe, ET; Kirchhoff, CJ; Lesnikowski, A; Alverio, GN; Nielsen, M; Orlove, B; Pentz, B; Reckien, D; Siders, AR; Ulibarri, N; van Aalst, M; Abu, TZ; Agrawal, T; Berrang-Ford, L; Kerr, RB; Coggins, S; Garschagen, M; Harden, A; Mach, KJ; Nunbogu, AM; Spandan, P; Templeman, S; Turek-Hankins, LL</t>
  </si>
  <si>
    <t>Equity in human adaptation-related responses: A systematic global review</t>
  </si>
  <si>
    <t>ONE EARTH</t>
  </si>
  <si>
    <t>Gaworek-Michalczenia, MF; Sallu, SM; Di Gregorio, M; Doggart, N; Mbogo, J</t>
  </si>
  <si>
    <t>Evaluating the impact of adaptation interventions on vulnerability and livelihood resilience</t>
  </si>
  <si>
    <t>Torabi, ZA; Khavarian-Garmsir, AR; Hall, CM; Khatibi, NB</t>
  </si>
  <si>
    <t>Unintended Maladaptation: How Agritourism Development Policies in Iran Have Increased Vulnerability to Climate Change</t>
  </si>
  <si>
    <t>Siders, AR; Ajibade, I; Casagrande, D</t>
  </si>
  <si>
    <t>Transformative potential of managed retreat as climate adaptation</t>
  </si>
  <si>
    <t>Zoll, D; Lieberknecht, K; Bixler, RP; Belaire, JA; Jha, S</t>
  </si>
  <si>
    <t>Integrating equity, climate risks, and population growth for targeting conservation planning</t>
  </si>
  <si>
    <t>Jurjonas, M; Seekamp, E; Rivers, L; Cutts, B</t>
  </si>
  <si>
    <t>Uncovering climate (in)justice with an adaptive capacity assessment: A multiple case study in rural coastal North Carolina</t>
  </si>
  <si>
    <t>Eakin, H; Keele, S; Lueck, V</t>
  </si>
  <si>
    <t>Uncomfortable knowledge: Mechanisms of urban development in adaptation governance</t>
  </si>
  <si>
    <t>Duus-Otterström, G</t>
  </si>
  <si>
    <t>Allocating climate adaptation finance: examining three ethical arguments for recipient control</t>
  </si>
  <si>
    <t>Bisaro, A; Wolf, S; Hinkel, J</t>
  </si>
  <si>
    <t>Framing climate vulnerability and adaptation at multiple levels: Addressing climate risks or institutional barriers in Lesotho?</t>
  </si>
  <si>
    <t>Grecksch, K; Klöck, C</t>
  </si>
  <si>
    <t>Access and allocation in climate change adaptation</t>
  </si>
  <si>
    <t>Skikne, S; Cross, M; Press, D; Zavaleta, E</t>
  </si>
  <si>
    <t>The landscape of climate change adaptation aspirations in the US non-profit conservation sector</t>
  </si>
  <si>
    <t>CONSERVATION SCIENCE AND PRACTICE</t>
  </si>
  <si>
    <t>Turner, GA; de'Donato, F; Hoeben, AD; Nordeng, Z; Coleman, S; Otto, IM; Hajat, S; Kovats, S</t>
  </si>
  <si>
    <t>Implementation of climate adaptation in the public health sector in Europe: qualitative thematic analysis</t>
  </si>
  <si>
    <t>EUROPEAN JOURNAL OF PUBLIC HEALTH</t>
  </si>
  <si>
    <t>Clar, C</t>
  </si>
  <si>
    <t>Coordinating climate change adaptation across levels of government: the gap between theory and practice of integrated adaptation strategy processes</t>
  </si>
  <si>
    <t>Tan, SB; Binet, A; Thompson, JP; Arcaya, M</t>
  </si>
  <si>
    <t>Health Equity as a Guide for Urban Planning</t>
  </si>
  <si>
    <t>JOURNAL OF PLANNING LITERATURE</t>
  </si>
  <si>
    <t>Mildenberger, M; Sahn, A; Miljanich, C; Hummel, MA; Lubell, M; Marlon, JR</t>
  </si>
  <si>
    <t>Unintended consequences of using maps to communicate sea-level rise</t>
  </si>
  <si>
    <t>NATURE SUSTAINABILITY</t>
  </si>
  <si>
    <t>Transnational Support for Urban Climate Adaptation: Emerging Forms of Agency and Dependency</t>
  </si>
  <si>
    <t>Frapaise, L; Furman, K; Scyphers, SB; Kuhl, L</t>
  </si>
  <si>
    <t>Mental models for inclusive, socially-just disaster planning: a multi-community study in Saint Martin after Hurricane Irma</t>
  </si>
  <si>
    <t>DISASTERS</t>
  </si>
  <si>
    <t>Neset, TS; Asplund, T; Käyhkö, J; Juhola, S</t>
  </si>
  <si>
    <t>Making sense of maladaptation: Nordic agriculture stakeholders' perspectives</t>
  </si>
  <si>
    <t>Siders, AR</t>
  </si>
  <si>
    <t>The administrator?s dilemma: Closing the gap between climate adaptation justice in theory and practice</t>
  </si>
  <si>
    <t>Geldin, S</t>
  </si>
  <si>
    <t>Advancing urban adaptation where it counts: reshaping unequal knowledge and resource diffusion in networked Indonesian cities</t>
  </si>
  <si>
    <t>Chakraborty, R; Sherpa, PY</t>
  </si>
  <si>
    <t>From climate adaptation to climate justice: Critical reflections on the IPCC and Himalayan climate knowledges</t>
  </si>
  <si>
    <t>Figueiredo, P; Perkins, PE</t>
  </si>
  <si>
    <t>Women and water management in times of climate change: participatory and inclusive processes</t>
  </si>
  <si>
    <t>JOURNAL OF CLEANER PRODUCTION</t>
  </si>
  <si>
    <t>Pfaff, A; Velez, MA; Broad, K; Hamoudi, A; Taddei, R</t>
  </si>
  <si>
    <t>Contracts versus trust for transfers of ecosystem services: Equity and efficiency in resource allocation and environmental provision</t>
  </si>
  <si>
    <t>WATER RESOURCES AND ECONOMICS</t>
  </si>
  <si>
    <t>Birthwright, AT</t>
  </si>
  <si>
    <t>Negotiating politics and power: Perspectives on environmental justice from Jamaica's specialty coffee industry</t>
  </si>
  <si>
    <t>GEOGRAPHICAL JOURNAL</t>
  </si>
  <si>
    <t>Selseng, T; Klemetsen, M; Rusdal, T</t>
  </si>
  <si>
    <t>Adaptation Confusion? A Longitudinal Examination of the Concept Climate Change Adaptation in Norwegian Municipal Surveys</t>
  </si>
  <si>
    <t>Adger, WN; Butler, C; Walker-Springett, K</t>
  </si>
  <si>
    <t>Moral reasoning in adaptation to climate change</t>
  </si>
  <si>
    <t>Eriksen, S; Schipper, ELF; Scoville-Simonds, M; Vincent, K; Adam, HN; Brooks, N; Harding, B; Khatri, D; Lenaerts, L; Livermanm, D; Mills-Novoam, M; Mosberg, M; Movik, S; Muok, B; Nightingale, A; Ojha, H; Sygna, L; Taylor, M; Vogel, C; West, JJ</t>
  </si>
  <si>
    <t>Adaptation interventions and their effect on vulnerability in developing countries: Help, hindrance or irrelevance?</t>
  </si>
  <si>
    <t>Quang, NM; Kawarazuka, N; Nguyen-Pham, TN; Nguyen, TH; Le, HM; Tran, TTM; Huynh, TTN</t>
  </si>
  <si>
    <t>Why adaptation falters: principles for climate change adaptation policy assessment in Vietnam</t>
  </si>
  <si>
    <t>Shi, LD; Chu, E; Anguelovski, I; Aylett, A; Debats, J; Goh, K; Schenk, T; Seto, KC; Dodman, D; Roberts, D; Roberts, JT; VanDeveer, SD</t>
  </si>
  <si>
    <t>Roadmap towards justice in urban climate adaptation research</t>
  </si>
  <si>
    <t>Garcia, A; Tschakert, P; Karikari, NA</t>
  </si>
  <si>
    <t>Sustaining Hierarchies: A Cross-Level and Cross-Scale Analysis of Power, Politics, and Dominant Discourse in Adaptive Decision Making</t>
  </si>
  <si>
    <t>ANNALS OF THE AMERICAN ASSOCIATION OF GEOGRAPHERS</t>
  </si>
  <si>
    <t>Persson, A; Remling, E</t>
  </si>
  <si>
    <t>Equity and efficiency in adaptation finance: initial experiences of the Adaptation Fund</t>
  </si>
  <si>
    <t>Ohdedar, B</t>
  </si>
  <si>
    <t>Law, Colonial-Capitalist Floods, and the Production of Injustices in Eastern India: Insights for Climate Adaptation</t>
  </si>
  <si>
    <t>Kurian, P; Munshi, D; Cretney, R; Morrison, S; Kathlene, L</t>
  </si>
  <si>
    <t>The cultural politics of climate change adaptation: an analysis of the tourism sector in Aotearoa New Zealand</t>
  </si>
  <si>
    <t>POLITICAL SCIENCE</t>
  </si>
  <si>
    <t>Poo, MCP; Yang, ZL; Dimitriu, D; Qu, ZH</t>
  </si>
  <si>
    <t>An advanced climate resilience indicator framework for airports: A UK case study</t>
  </si>
  <si>
    <t>TRANSPORTATION RESEARCH PART D-TRANSPORT AND ENVIRONMENT</t>
  </si>
  <si>
    <t>Nadeau, CP; Hughes, R; Schneider, EG; Colarusso, P; Fisichelli, NA; Miller-Rushing, AJ</t>
  </si>
  <si>
    <t>Incorporating experiments into management to facilitate rapid learning about climate change adaptation</t>
  </si>
  <si>
    <t>BIOLOGICAL CONSERVATION</t>
  </si>
  <si>
    <t>Sheller, M; León, YM</t>
  </si>
  <si>
    <t>Uneven socio-ecologies of Hispaniola: Asymmetric capabilities for climate adaptation in Haiti and the Dominican Republic</t>
  </si>
  <si>
    <t>Mahon, L; Shih, WY</t>
  </si>
  <si>
    <t>What might 'just green enough' urban development mean in the context of climate change adaptation? The case of urban greenspace planning in Taipei Metropolis, Taiwan</t>
  </si>
  <si>
    <t>Carvalho, P; Spataru, C</t>
  </si>
  <si>
    <t>Co-designing a just resilience balance scorecard with experts in islands and coastal cities</t>
  </si>
  <si>
    <t>Orlove, B</t>
  </si>
  <si>
    <t>The Concept of Adaptation</t>
  </si>
  <si>
    <t>ANNUAL REVIEW OF ENVIRONMENT AND RESOURCES</t>
  </si>
  <si>
    <t>vonHedemann, N; Breidenbach, T; Carney, CP; Childers, LC; David-Chavez, DM; Havrilla, CA; Hill, M; Mahmoud, H; Mueller, ND; Schultz, CA; Stevens-Rumann, CS</t>
  </si>
  <si>
    <t>Climate adaptation research priorities and funding: a review of US federal departments' climate action plans</t>
  </si>
  <si>
    <t>Xu, JY; Zhang, Y</t>
  </si>
  <si>
    <t>Has the international climate regime promoted climate justice? Evidence from Clean Development Mechanism projects in China</t>
  </si>
  <si>
    <t>Harper, SJ; Burt, JM; Nelson, LK; Runnebaum, JM; Cullen, A; Levin, PS; Hunter, KL; McIsaac, J; Ban, NC</t>
  </si>
  <si>
    <t>Commercial fisher perceptions illuminate a need for social justice considerations in navigating climate change impacts on fisheries systems</t>
  </si>
  <si>
    <t>Bowen, KJ; Friel, S</t>
  </si>
  <si>
    <t>Climate change adaptation: Where does global health fit in the agenda?</t>
  </si>
  <si>
    <t>GLOBALIZATION AND HEALTH</t>
  </si>
  <si>
    <t>Serra, V; Ledda, A; Ruiu, MGG; Calia, G; De Montis, A</t>
  </si>
  <si>
    <t>Integrating Adaptation to Climate Change into Sustainable Development Policy and Planning</t>
  </si>
  <si>
    <t>Radhakrishnan, M; Pathirana, A; Ashley, R; Zevenbergen, C</t>
  </si>
  <si>
    <t>Structuring Climate Adaptation through Multiple Perspectives: Framework and Case Study on Flood Risk Management</t>
  </si>
  <si>
    <t>WATER</t>
  </si>
  <si>
    <t>Narita, D; Sato, I; Ogawada, D; Matsumura, A</t>
  </si>
  <si>
    <t>Evaluating the robustness of project performance under deep uncertainty of climate change: A case study of irrigation development in Kenya</t>
  </si>
  <si>
    <t>Williams, DS; Balaban, O; Ilhan, A; Paker, H; Sahin, Ü; Yildirim, BS; Turhan, E; Uncu, BA; Olazabal, M</t>
  </si>
  <si>
    <t>A policy content analysis for evaluating urban adaptation justice in ?Istanbul</t>
  </si>
  <si>
    <t>Tubridy, D</t>
  </si>
  <si>
    <t>Green climate change adaptation and the politics of designing ecological infrastructures</t>
  </si>
  <si>
    <t>Chakraborty, R; Rampini, C; Sherpa, PY</t>
  </si>
  <si>
    <t>Mountains of inequality: encountering the politics of climate adaptation across the Himalaya</t>
  </si>
  <si>
    <t>Amorim-Maia, AT; Olazabal, M</t>
  </si>
  <si>
    <t>Localising the Global Goal on Adaptation through intersectional thinking</t>
  </si>
  <si>
    <t>Ortega-Cisneros, K; Cochrane, KL; Rivers, N; Sauer, WHH</t>
  </si>
  <si>
    <t>Assessing South Africa's Potential to Address Climate Change Impacts and Adaptation in the Fisheries Sector</t>
  </si>
  <si>
    <t>FRONTIERS IN MARINE SCIENCE</t>
  </si>
  <si>
    <t>Bailey, A; Moglia, M; Glackin, S</t>
  </si>
  <si>
    <t>Participatory justice and climate adaptation for water management in Small Island Developing States: a systematic literature review and discussion</t>
  </si>
  <si>
    <t>Moulton, H</t>
  </si>
  <si>
    <t>Indigenous women are the guardians of Pachamama: Territorial sovereignty is indispensable for just climate change adaptations in Peru</t>
  </si>
  <si>
    <t>Gonda, N</t>
  </si>
  <si>
    <t>Re-politicizing the gender and climate change debate: The potential of feminist political ecology to engage with power in action in adaptation policies and projects in Nicaragua</t>
  </si>
  <si>
    <t>Du, HM; Triyanti, A; Hegger, DLT; Gilissen, HK; Driessen, PPJ; van Rijswick, HFMW</t>
  </si>
  <si>
    <t>Enriching the concept of solution space for climate adaptation by unfolding legal and governance dimensions</t>
  </si>
  <si>
    <t>Olsson, D</t>
  </si>
  <si>
    <t>From Technocracy to Democracy: Ways to Promote Democratic Engagement for Just Climate Change Adaptation and Resilience Building</t>
  </si>
  <si>
    <t>Smucker, TA; Wisner, B; Mascarenhas, A; Munishi, P; Wangui, EE; Sinha, G; Weiner, D; Bwenge, C; Lovell, E</t>
  </si>
  <si>
    <t>Differentiated livelihoods, local institutions, and the adaptation imperative: Assessing climate change adaptation policy in Tanzania</t>
  </si>
  <si>
    <t>McEvoy, J; Wilder, M</t>
  </si>
  <si>
    <t>Discourse and desalination: Potential impacts of proposed climate change adaptation interventions in the Arizona-Sonora border region</t>
  </si>
  <si>
    <t>Anguelovski, I; Brand, AL; Connolly, JJT; Corbera, E; Kotsila, P; Steil, J; Garcia-Lamarca, M; Triguero-Mas, M; Cole, H; Baró, F; Langemeyer, J; del Pulgar, CP; Shokry, G; Sekulova, F; Ramos, LA</t>
  </si>
  <si>
    <t>Expanding the Boundaries of Justice in Urban Greening Scholarship: Toward an Emancipatory, Antisubordination, Intersectional, and Relational Approach</t>
  </si>
  <si>
    <t>Antoci, A; Borghesi, S; Galdi, G; Sodini, M; Ticci, E</t>
  </si>
  <si>
    <t>Maladaptation in an unequal world: an evolutionary model with heterogeneous agents</t>
  </si>
  <si>
    <t>ANNALS OF OPERATIONS RESEARCH</t>
  </si>
  <si>
    <t>Bertana, A</t>
  </si>
  <si>
    <t>The role of power in community participation: Relocation as climate change adaptation in Fiji</t>
  </si>
  <si>
    <t>ENVIRONMENT AND PLANNING C-POLITICS AND SPACE</t>
  </si>
  <si>
    <t>Chen, C; Hellmann, J; Berrang-Ford, L; Noble, I; Regan, P</t>
  </si>
  <si>
    <t>A global assessment of adaptation investment from the perspectives of equity and efficiency</t>
  </si>
  <si>
    <t>MITIGATION AND ADAPTATION STRATEGIES FOR GLOBAL CHANGE</t>
  </si>
  <si>
    <t>Johnson, L; Mikulewicz, M; Bigger, P; Chakraborty, R; Cunniff, A; Griffin, PJ; Guermond, V; Lambrou, N; Mills-Novoa, M; Neimark, B; Nelson, S; Rampini, C; Sherpa, P; Simon, G</t>
  </si>
  <si>
    <t>Intervention: The invisible labor of climate change adaptation</t>
  </si>
  <si>
    <t>Integrating economic measures of adaptation effectiveness into climate change interventions: A case study of irrigation development in Mwea, Kenya</t>
  </si>
  <si>
    <t>Girard, C; Rinaudo, JD; Pulido-Velazquez, M</t>
  </si>
  <si>
    <t>Sharing the cost of river basin adaptation portfolios to climate change: Insights from social justice and cooperative game theory</t>
  </si>
  <si>
    <t>WATER RESOURCES RESEARCH</t>
  </si>
  <si>
    <t>Singh, GG; Keefer, J; Ota, Y</t>
  </si>
  <si>
    <t>An inequity assessment framework for planning coastal and marine conservation and development interventions</t>
  </si>
  <si>
    <t>Weiler, F; Klöck, C; Dornan, M</t>
  </si>
  <si>
    <t>Vulnerability, good governance, or donor interests? The allocation of aid for climate change adaptation</t>
  </si>
  <si>
    <t>Leal, ME; Heinze, C</t>
  </si>
  <si>
    <t>Last mile delivery of climate adaptation in Uganda, the need to integrate and decentralize climate adaptation planning and implementation processes</t>
  </si>
  <si>
    <t>Drescher, M; Skoyles, A</t>
  </si>
  <si>
    <t>Urban climate change adaptation planning using participatory scenarios: a systematic review of methods and approaches</t>
  </si>
  <si>
    <t>Kafle, K; Uprety, L; Shrestha, G; Pandey, V; Mukherji, A</t>
  </si>
  <si>
    <t>Are climate finance subsidies equitably distributed among farmers? Assessing socio-demographics of solar irrigation in Nepal</t>
  </si>
  <si>
    <t>Hopkins, D</t>
  </si>
  <si>
    <t>The sustainability of climate change adaptation strategies in New Zealand's ski industry: a range of stakeholder perceptions</t>
  </si>
  <si>
    <t>JOURNAL OF SUSTAINABLE TOURISM</t>
  </si>
  <si>
    <t>Chu, E; Anguelovski, I; Roberts, D</t>
  </si>
  <si>
    <t>Climate adaptation as strategic urbanism: assessing opportunities and uncertainties for equity and inclusive development in cities</t>
  </si>
  <si>
    <t>Vallury, S; Cook, NJ; Nelson, DR</t>
  </si>
  <si>
    <t>Social inequalities shape climate change adaptation among Indian farmers</t>
  </si>
  <si>
    <t>Quan, SP; Li, YM; Song, JX; Zhang, T; Wang, MY</t>
  </si>
  <si>
    <t>Adaptation to Climate Change and its Impacts on Wheat Yield: Perspective of Farmers in Henan of China</t>
  </si>
  <si>
    <t>Eghdami, S; Scheld, AM; Louis, G</t>
  </si>
  <si>
    <t>Socioeconomic vulnerability and climate risk in coastal Virginia</t>
  </si>
  <si>
    <t>Forino, G; Fraser, A; Tandaric, N</t>
  </si>
  <si>
    <t>Towards adaptive and transformative finance for urban areas? A framework to analyse the responsiveness of adaptation finance to urban challenges in the global South</t>
  </si>
  <si>
    <t>Amorim-Maia, AT; Anguelovski, I; Chu, E; Connolly, J</t>
  </si>
  <si>
    <t>Intersectional climate justice: A conceptual pathway for bridging adaptation planning, transformative action, and social equity</t>
  </si>
  <si>
    <t>Quarshie, PT</t>
  </si>
  <si>
    <t>Exploring the concept of place in the literature on smallholder farmers and climate change adaptation in Sub-Saharan Africa</t>
  </si>
  <si>
    <t>SOUTH AFRICAN GEOGRAPHICAL JOURNAL</t>
  </si>
  <si>
    <t>Brink, E; Wamsler, C</t>
  </si>
  <si>
    <t>Collaborative Governance for Climate Change Adaptation: Mapping citizen-municipality interactions</t>
  </si>
  <si>
    <t>ENVIRONMENTAL POLICY AND GOVERNANCE</t>
  </si>
  <si>
    <t>Bigger, P; Millington, N</t>
  </si>
  <si>
    <t>Getting soaked? Climate crisis, adaptation finance, and racialized austerity</t>
  </si>
  <si>
    <t>Chingombe, W; Musarandega, H</t>
  </si>
  <si>
    <t>Understanding the Logic of Climate Change Adaptation: Unpacking Barriers to Climate Change Adaptation by Smallholder Farmers in Chimanimani District, Zimbabwe</t>
  </si>
  <si>
    <t>Carriere, ZD; Lesnikowski, A</t>
  </si>
  <si>
    <t>The climate change adaptation readiness of co-operative housing in Nova Scotia, Canada</t>
  </si>
  <si>
    <t>Majumdar, R; Weber, EU</t>
  </si>
  <si>
    <t>Multilevel intergroup conflict at the core of climate (in)justice: Psychological challenges and ways forward</t>
  </si>
  <si>
    <t>Wang, B; Chin, KS; Su, Q</t>
  </si>
  <si>
    <t>Port investments to address diversified risks under risk-sensitive behavior: Prevention or adaptation?</t>
  </si>
  <si>
    <t>COMPUTERS &amp; INDUSTRIAL ENGINEERING</t>
  </si>
  <si>
    <t>Naazie, GK; Agyemang, I; Tampah-Naah, AM</t>
  </si>
  <si>
    <t>Spatial pattern and distribution of urban farms and climate change adaptation implications in urban Ghana</t>
  </si>
  <si>
    <t>COGENT FOOD &amp; AGRICULTURE</t>
  </si>
  <si>
    <t>Teklewold, H; Bezabih, M; Gebrehiwot, T</t>
  </si>
  <si>
    <t>Gender differences on the choices of a portfolio of climate change adaptation strategies in Ethiopia</t>
  </si>
  <si>
    <t>Sheriffdeen, M; Nurrochmat, DR; Perdinan; Abubakar, HKA</t>
  </si>
  <si>
    <t>Effectiveness of emerging mechanisms for financing national climate actions; example of the Indonesia Climate Change Trust Fund</t>
  </si>
  <si>
    <t>Ulibarri, N; Ajibade, I; Galappaththi, EK; Joe, ET; Lesnikowski, A; Mach, KJ; Musah-Surugu, JI; Alverio, GN; Segnon, AC; Siders, AR; Sotnik, G; Campbell, D; Chalastani, V; Jagannathan, K; Khavhagali, V; Reckien, D; Shang, YY; Singh, C; Zommers, Z</t>
  </si>
  <si>
    <t>A global assessment of policy tools to support climate adaptation</t>
  </si>
  <si>
    <t>Paprocki, K</t>
  </si>
  <si>
    <t>Climate justice in and beyond South Asia</t>
  </si>
  <si>
    <t>CONTEMPORARY SOUTH ASIA</t>
  </si>
  <si>
    <t>Friesenecker, M; Thaler, T; Clar, C</t>
  </si>
  <si>
    <t>Green gentrification and changing planning policies in Vienna?</t>
  </si>
  <si>
    <t>URBAN RESEARCH &amp; PRACTICE</t>
  </si>
  <si>
    <t>Hepburn, C; Müller, B</t>
  </si>
  <si>
    <t>International Air Travel and Greenhouse Gas Emissions: A Proposal for an Adaptation Levy1</t>
  </si>
  <si>
    <t>WORLD ECONOMY</t>
  </si>
  <si>
    <t>Sarmiento, H</t>
  </si>
  <si>
    <t>Insurgent climate adaptation in Santiago de Cali: A study of Afro-Colombian resistance to project Plan Jarillon</t>
  </si>
  <si>
    <t>Braunschweiger, D</t>
  </si>
  <si>
    <t>Cross-scale collaboration for adaptation to climate change: a two-mode network analysis of bridging actors in Switzerland</t>
  </si>
  <si>
    <t>Markanday, A; Markandya, A; de Murieta, ES; Galarraga, I</t>
  </si>
  <si>
    <t>Accounting for the Effects of Employment, Equity, and Risk Aversion in Cost-Benefit Analysis: An Application to an Adaptation Project</t>
  </si>
  <si>
    <t>JOURNAL OF BENEFIT-COST ANALYSIS</t>
  </si>
  <si>
    <t>Mabon, L</t>
  </si>
  <si>
    <t>Environmental justice in urban greening for subtropical Asian cities: the view from Taipei</t>
  </si>
  <si>
    <t>SINGAPORE JOURNAL OF TROPICAL GEOGRAPHY</t>
  </si>
  <si>
    <t>Morris, A; Baird-Zars, B; Sanders, V; Gallay, P; Klopp, JM; Hernandez, A; Scanlon, L; Lin, HSA</t>
  </si>
  <si>
    <t>Advancing equitable partnerships: frontline community visions for coastal resiliency knowledge co-production, social cohesion, and environmental justice</t>
  </si>
  <si>
    <t>Uittenbroek, CJ; Janssen-Jansen, LB; Spit, TJM; Salet, WGM; Runhaar, HAC</t>
  </si>
  <si>
    <t>Political commitment in organising municipal responses to climate adaptation: the dedicated approach versus the mainstreaming approach</t>
  </si>
  <si>
    <t>Winkel, G; Sotirov, M; Moseley, C</t>
  </si>
  <si>
    <t>Forest environmental frontiers around the globe: Old patterns and new trends in forest governance</t>
  </si>
  <si>
    <t>Meerow, S; Newell, JP</t>
  </si>
  <si>
    <t>Urban resilience for whom, what, when, where, and why?</t>
  </si>
  <si>
    <t>URBAN GEOGRAPHY</t>
  </si>
  <si>
    <t>Effiong, C; Ngang, E; Ekott, I</t>
  </si>
  <si>
    <t>Land use planning and climate change adaptation in river-dependent communities in Nigeria</t>
  </si>
  <si>
    <t>Luu, TA; Nguyen, AT; Trinh, QA; Pham, V; Le, BB; Nguyen, DT; Hoang, QN; Pham, HT; Nguyen, TK; Luu, VN; Hens, L</t>
  </si>
  <si>
    <t>Farmers' Intention to Climate Change Adaptation in Agriculture in the Red River Delta Biosphere Reserve (Vietnam): A Combination of Structural Equation Modeling (SEM) and Protection Motivation Theory (PMT)</t>
  </si>
  <si>
    <t>Owen, G</t>
  </si>
  <si>
    <t>What makes climate change adaptation effective? A systematic review of the literature</t>
  </si>
  <si>
    <t>Maharjan, SK</t>
  </si>
  <si>
    <t>Stocktaking of local adaptation plans and initiatives in the changing political context in Nepal</t>
  </si>
  <si>
    <t>ENVIRONMENT DEVELOPMENT AND SUSTAINABILITY</t>
  </si>
  <si>
    <t>Bazbauers, AR</t>
  </si>
  <si>
    <t>The Multilateral Development Banks and Rural Climate Finance: Adaptation, Mitigation, and Resilience</t>
  </si>
  <si>
    <t>Lund, AJ; Lopez-Carr, D; Sokolow, SH; Rohr, JR; De Leo, GA</t>
  </si>
  <si>
    <t>Agricultural Innovations to Reduce the Health Impacts of Dams</t>
  </si>
  <si>
    <t>Kennedy, AM; Tsakonas, K; Berman-Hatch, F; Conradi, S; Thaysen, M; Gillespie, MA; Gislason, MK</t>
  </si>
  <si>
    <t>Promoting community health and climate justice co-benefits: insights from a rural and remote island climate planning process</t>
  </si>
  <si>
    <t>FRONTIERS IN PUBLIC HEALTH</t>
  </si>
  <si>
    <t>Regmi, BR; Star, C; Leal, W</t>
  </si>
  <si>
    <t>An overview of the opportunities and challenges of promoting climate change adaptation at the local level: a case study from a community adaptation planning in Nepal</t>
  </si>
  <si>
    <t>Edwards, F; Dixon, J; Friel, S; Hall, G; Larsen, K; Lockie, S; Wood, B; Lawrence, M; Hanigan, I; Hogan, A; Hattersley, L</t>
  </si>
  <si>
    <t>Climate Change Adaptation at the Intersection of Food and Health</t>
  </si>
  <si>
    <t>ASIA-PACIFIC JOURNAL OF PUBLIC HEALTH</t>
  </si>
  <si>
    <t>Mcleod, E; Arora-Jonsson, S; Masuda, YJ; Bruton-Adams, M; Emaurois, CO; Gorong, B; Hudlow, CJ; James, R; Kuhlken, H; Masike-Liri, B; Musrasrik-Carl, E; Otzelberger, A; Relang, K; Reyuw, BM; Sigrah, B; Stinnett, C; Tellei, J; Whitford, L</t>
  </si>
  <si>
    <t>Raising the voices of Pacific Island women to inform climate adaptation policies</t>
  </si>
  <si>
    <t>MARINE POLICY</t>
  </si>
  <si>
    <t>Beauregard, C; Carlson, D; Robinson, SA; Cobb, C; Patton, M</t>
  </si>
  <si>
    <t>Climate justice and rights-based litigation in a post-Paris world</t>
  </si>
  <si>
    <t>Mysiak, J; Torresan, S; Bosello, F; Mistry, M; Amadio, M; Marzi, S; Furlan, E; Sperotto, A</t>
  </si>
  <si>
    <t>Climate risk index for Italy</t>
  </si>
  <si>
    <t>PHILOSOPHICAL TRANSACTIONS OF THE ROYAL SOCIETY A-MATHEMATICAL PHYSICAL AND ENGINEERING SCIENCES</t>
  </si>
  <si>
    <t>Mwenje, E; Kumar, P</t>
  </si>
  <si>
    <t>Challenges for mainstreaming climate adaptation in African cities. A case study of Kigali, Rwanda</t>
  </si>
  <si>
    <t>Ranabhat, S; Ghate, R; Bhatta, LD; Agrawal, NK; Tankha, S</t>
  </si>
  <si>
    <t>Policy Coherence and Interplay between Climate Change Adaptation Policies and the Forestry Sector in Nepal</t>
  </si>
  <si>
    <t>ENVIRONMENTAL MANAGEMENT</t>
  </si>
  <si>
    <t>Bohnert, G; Martin, B</t>
  </si>
  <si>
    <t>Farmers' adaptation and mitigation practices in the Upper Rhine Valley: Drivers, synergies and trade-offs</t>
  </si>
  <si>
    <t>Wagle, P; Philip, K</t>
  </si>
  <si>
    <t>Climate justice is social justice: articulating people's rights to the city in Mumbai</t>
  </si>
  <si>
    <t>Turek-Hankins, LL; Hino, M; Mach, KJ</t>
  </si>
  <si>
    <t>Risk screening methods for extreme heat: Implications for equity-oriented adaptation</t>
  </si>
  <si>
    <t>Calderón-Argelich, A; Benetti, S; Anguelovski, I; Connolly, JJT; Langemeyer, J; Baró, F</t>
  </si>
  <si>
    <t>Tracing and building up environmental justice considerations in the urban ecosystem service literature: A systematic review</t>
  </si>
  <si>
    <t>Tubridy, F; Lennon, M; Scott, M</t>
  </si>
  <si>
    <t>Managed retreat and coastal climate change adaptation: The environmental justice implications and value of a coproduction approach</t>
  </si>
  <si>
    <t>Bhatasara, S; Nyamwanza, A</t>
  </si>
  <si>
    <t>Sustainability: a missing dimension in climate change adaptation discourse in Africa?</t>
  </si>
  <si>
    <t>JOURNAL OF INTEGRATIVE ENVIRONMENTAL SCIENCES</t>
  </si>
  <si>
    <t>Rendon, C; Osman, KK; Faust, KM</t>
  </si>
  <si>
    <t>Path towards community resilience: Examining stakeholders? coordination at the intersection of the built, natural, and social systems</t>
  </si>
  <si>
    <t>Scott, J; Weston, C</t>
  </si>
  <si>
    <t>The pitfalls and promises of climate adaptation planning</t>
  </si>
  <si>
    <t>AUSTRALASIAN JOURNAL OF ENVIRONMENTAL MANAGEMENT</t>
  </si>
  <si>
    <t>Müller, B; Johnson, L; Kreuer, D</t>
  </si>
  <si>
    <t>Maladaptive outcomes of climate insurance in agriculture</t>
  </si>
  <si>
    <t>Bhattarai, B</t>
  </si>
  <si>
    <t>How do gender relations shape a community's ability to adapt to climate change? Insights from Nepal's community forestry</t>
  </si>
  <si>
    <t>Wardekker, A</t>
  </si>
  <si>
    <t>Contrasting the framing of urban climate resilience</t>
  </si>
  <si>
    <t>Benjamin, L</t>
  </si>
  <si>
    <t>Group Companies and Climate Justice</t>
  </si>
  <si>
    <t>CURRENT LEGAL PROBLEMS</t>
  </si>
  <si>
    <t>Nurhidayah, L; McIlgorm, A</t>
  </si>
  <si>
    <t>Coastal adaptation laws and the social justice of policies to address sea level rise: An Indonesian insight</t>
  </si>
  <si>
    <t>Lioubimtseva, E; Zylman, H; Carron, K; Poynter, K; Rashrash, BME</t>
  </si>
  <si>
    <t>Equity and Inclusion in Climate Action and Adaptation Plans of Michigan Cities</t>
  </si>
  <si>
    <t>Monsod, TMC; Majadillas, MA; Gochoco-Bautista, MS</t>
  </si>
  <si>
    <t>Unlocking the flow of finance for climate adaptation: estimates of 'Fiscal Space' in climate-vulnerable developing countries</t>
  </si>
  <si>
    <t>Rahman, MS; Sarker, PK; Giessen, L</t>
  </si>
  <si>
    <t>Super-bureaucracy in climate adaptation governance in Bangladesh</t>
  </si>
  <si>
    <t>Marchand, AA</t>
  </si>
  <si>
    <t>Climate and Cultural Vulnerabilities of Indigenous Elders</t>
    <phoneticPr fontId="2" type="noConversion"/>
  </si>
  <si>
    <t>GENERATIONS</t>
  </si>
  <si>
    <t>Gougherty, AV; Keller, SR; Fitzpatrick, MC</t>
  </si>
  <si>
    <t>Maladaptation, migration and extirpation fuel climate change risk in a forest tree species</t>
  </si>
  <si>
    <t>Do country-owned adaptation interventions reflect local level priorities? Application of a framings approach</t>
  </si>
  <si>
    <t>Lukasiewicz, A; Pittock, J; Finlayson, CM</t>
  </si>
  <si>
    <t>Are we adapting to climate change? A catchment-based adaptation assessment tool for freshwater ecosystems</t>
  </si>
  <si>
    <t>Baro, F; Calderón-Argelich, A; Langemeyer, J; Connolly, JJT</t>
  </si>
  <si>
    <t>Under one canopy? Assessing the distributional environmental justice implications of street tree benefits in Barcelona</t>
  </si>
  <si>
    <t>Van Neste, SL; D'Amours, AM; Poulin, E; Madénian, H</t>
  </si>
  <si>
    <t>Blinders of extreme heat adaptation: uneven urban development and the reproduction of vulnerabilities</t>
  </si>
  <si>
    <t>Buggy, L; McNamara, KE</t>
  </si>
  <si>
    <t>The need to reinterpret community for climate change adaptation: a case study of Pele Island, Vanuatu</t>
  </si>
  <si>
    <t>Fankhauser, S</t>
  </si>
  <si>
    <t>Adaptation to Climate Change</t>
  </si>
  <si>
    <t>ANNUAL REVIEW OF RESOURCE ECONOMICS</t>
    <phoneticPr fontId="2" type="noConversion"/>
  </si>
  <si>
    <t>Wilson, B; Freeman, S; Funnemark, A; Mason, E</t>
  </si>
  <si>
    <t>Climate justice at COP26: how Scotland can champion change</t>
  </si>
  <si>
    <t>SCOTTISH GEOGRAPHICAL JOURNAL</t>
  </si>
  <si>
    <t>Ruane, S; Babb, C; Swapan, MSH</t>
  </si>
  <si>
    <t>Considering sustainability trade-offs in bushfire policy for the wildland-urban interface</t>
    <phoneticPr fontId="2" type="noConversion"/>
  </si>
  <si>
    <t>ENVIRONMENTAL HAZARDS-HUMAN AND POLICY DIMENSIONS</t>
  </si>
  <si>
    <t>Magargal, K; Wilson, K; Chee, S; Campbell, MJ; Bailey, V; Dennison, PE; Anderegg, WRL; Cachelin, A; Brewer, S; Codding, BF</t>
  </si>
  <si>
    <t>The impacts of climate change, energy policy and traditional ecological practices on future firewood availability for Dine (Navajo) People</t>
  </si>
  <si>
    <t>Lipper, L; Cavatassi, R; Symons, R; Gordes, A; Page, O</t>
  </si>
  <si>
    <t>Financing adaptation for resilient livelihoods under food system transformation: the role of Multilateral Development Banks</t>
  </si>
  <si>
    <t>FOOD SECURITY</t>
  </si>
  <si>
    <t>Boutroue, B; Bourblanc, M; Mayaux, PL; Ghiotti, S; Hrabanski, M</t>
  </si>
  <si>
    <t>The politics of defining maladaptation: enduring contestations over three (mal)adaptive water projects in France, Spain and South Africa</t>
  </si>
  <si>
    <t>INTERNATIONAL JOURNAL OF AGRICULTURAL SUSTAINABILITY</t>
  </si>
  <si>
    <t>Todeschi, V; Pappalardo, SE; Zanetti, C; Peroni, F; De Marchi, M</t>
  </si>
  <si>
    <t>Climate Justice in the City: Mapping Heat-Related Risk for Climate Change Mitigation of the Urban and Peri-Urban Area of Padua (Italy)</t>
  </si>
  <si>
    <t>ISPRS INTERNATIONAL JOURNAL OF GEO-INFORMATION</t>
  </si>
  <si>
    <t>Lei, YR; Finlayson, CM; Thwaites, R; Shi, GQ; Cui, LJ</t>
  </si>
  <si>
    <t>Using Government Resettlement Projects as a Sustainable Adaptation Strategy for Climate Change</t>
  </si>
  <si>
    <t>Hiers, JK; Jackson, ST; Hobbs, RJ; Bernhardt, ES; Valentine, LE</t>
  </si>
  <si>
    <t>opinion The Precision Problem in Conservation and Restoration</t>
  </si>
  <si>
    <t>TRENDS IN ECOLOGY &amp; EVOLUTION</t>
  </si>
  <si>
    <t>Smith, ID; Nordvold, KS; Overland, I; Osmonova, T</t>
  </si>
  <si>
    <t>How do donors integrate climate policy and development cooperation? An analysis of the development aid policies of 42 donor countries</t>
  </si>
  <si>
    <t>Quinn, CF; Howard, JF; Chen, C; Coffee, JE; Quintela, CE; Parker, BA; Smith, JB</t>
  </si>
  <si>
    <t>Adaptation and poverty reduction in Mozambique: an opportunity for developing countries to lead</t>
  </si>
  <si>
    <t>Cannon, C; Chu, E; Natekal, A; Waaland, G</t>
  </si>
  <si>
    <t>Translating and embedding equity-thinking into climate adaptation: an analysis of US cities</t>
  </si>
  <si>
    <t>McNamara, KE</t>
  </si>
  <si>
    <t>Taking stock of community-based climate-change adaptation projects in the Pacific</t>
  </si>
  <si>
    <t>ASIA PACIFIC VIEWPOINT</t>
  </si>
  <si>
    <t>Fitzpatrick, MC; Chhatre, VE; Soolanayakanahally, RY; Keller, SR</t>
  </si>
  <si>
    <t>Experimental support for genomic prediction of climate maladaptation using the machine learning approach Gradient Forests</t>
  </si>
  <si>
    <t>MOLECULAR ECOLOGY RESOURCES</t>
  </si>
  <si>
    <t>Brown, K; Naylor, LA; Quinn, T</t>
  </si>
  <si>
    <t>Making Space for Proactive Adaptation of Rapidly Changing Coasts: A Windows of Opportunity Approach</t>
  </si>
  <si>
    <t>Rahman, SM</t>
  </si>
  <si>
    <t>Sustainability challenges of adaptation interventions: do the challenges vary with implementing organizations?</t>
  </si>
  <si>
    <t>Yalew, SG; Kwakkel, J; Doorn, N</t>
  </si>
  <si>
    <t>Distributive Justice and Sustainability Goals in Transboundary Rivers: Case of the Nile Basin</t>
  </si>
  <si>
    <t>FRONTIERS IN ENVIRONMENTAL SCIENCE</t>
  </si>
  <si>
    <t>Epistemic justice in flood-adaptive green infrastructure planning: The recognition of local experiential knowledge in Thorncliffe Park, Toronto</t>
  </si>
  <si>
    <t>McCordic, C; Raimundo, I; Judyn, M; Willis, D</t>
  </si>
  <si>
    <t>The distribution of Cyclone Idai's water impacts in Beira, Mozambique</t>
  </si>
  <si>
    <t>DISASTER PREVENTION AND MANAGEMENT</t>
  </si>
  <si>
    <t>Jones, A; Nock, D; Samaras, C; Qiu, YM; Xing, B</t>
  </si>
  <si>
    <t>Climate change impacts on future residential electricity consumption and energy burden: A case study in Phoenix, Arizona</t>
  </si>
  <si>
    <t>ENERGY POLICY</t>
  </si>
  <si>
    <t>Hurlimann, A; Barnett, J; Fincher, R; Osbaldiston, N; Mortreux, C; Graham, S</t>
  </si>
  <si>
    <t>Urban planning and sustainable adaptation to sea-level rise</t>
  </si>
  <si>
    <t>Butler, JB; Harrison, PA; Vaillancourt, RE; Steane, DA; Tibbits, JFG; Potts, BM</t>
  </si>
  <si>
    <t>Climate Adaptation, Drought Susceptibility, and Genomic-Informed Predictions of Future Climate Refugia for the Australian Forest Tree Eucalyptus globulus</t>
  </si>
  <si>
    <t>FORESTS</t>
  </si>
  <si>
    <t>Gold, DF; Reed, PM; Trindade, BC; Characklis, GW</t>
  </si>
  <si>
    <t>Identifying Actionable Compromises: Navigating Multi-City Robustness Conflicts to Discover Cooperative Safe Operating Spaces for Regional Water Supply Portfolios</t>
  </si>
  <si>
    <t>Ford, JD; Berrang-Ford, L; Lesnikowski, A; Barrera, M; Heymann, SJ</t>
  </si>
  <si>
    <t>How to Track Adaptation to Climate Change: A Typology of Approaches for National-Level Application</t>
  </si>
  <si>
    <t>Dzebo, A; Stripple, J</t>
  </si>
  <si>
    <t>Transnational adaptation governance: An emerging fourth era of adaptation</t>
  </si>
  <si>
    <t>Adego, T</t>
  </si>
  <si>
    <t>Characterizing and tailoring climate change adaptation practices into a diversified agroecosystem: an evidence from smallholder farmers in Ethiopia</t>
  </si>
  <si>
    <t>Ehrenfeucht, R; Nelson, M</t>
  </si>
  <si>
    <t>Towards Transformative Climate Relocation Initiatives</t>
  </si>
  <si>
    <t>Kuhl, L; Kirshen, PH; Ruth, M; Douglas, EM</t>
  </si>
  <si>
    <t>Evacuation as a climate adaptation strategy for environmental justice communities</t>
  </si>
  <si>
    <t>Chiquetto, JB; Nolasco, MA</t>
  </si>
  <si>
    <t>Climate adaptation in Brazil: Advancements and challenges</t>
  </si>
  <si>
    <t>Mills-Novoa, M; Mikulewicz, M</t>
  </si>
  <si>
    <t>The Promise of Resistance: A New Lens for Climate Change Adaptation Research and Practice</t>
  </si>
  <si>
    <t>Jordan, JC</t>
  </si>
  <si>
    <t>Climate shocks and adaptation strategies in coastal Bangladesh: does microcredit have a part to play?</t>
  </si>
  <si>
    <t>Pfaff, A; Velez, MA; Taddei, R; Broad, K</t>
  </si>
  <si>
    <t>Unequal Information, Unequal Allocation: Bargaining field experiments in NE Brazil</t>
  </si>
  <si>
    <t>Bennett, NJ; Alava, JJ; Ferguson, CE; Blythe, J; Morgera, E; Boyd, D; Côté, IM</t>
  </si>
  <si>
    <t>Environmental (in)justice in the Anthropocene ocean</t>
  </si>
  <si>
    <t>Parsons, M; Asena, Q; Johnson, D; Nalau, J</t>
  </si>
  <si>
    <t>A bibliometric and topic analysis of climate justice: Mapping trends, voices, and the way forward</t>
  </si>
  <si>
    <t>Gagne, K; Chostak, S</t>
  </si>
  <si>
    <t>Climate change beyond technocracy: citizenship and drought practices in the Indian Himalayas</t>
  </si>
  <si>
    <t>JOURNAL OF PEASANT STUDIES</t>
  </si>
  <si>
    <t>Rigolon, A; Tabassum, N; Ewing, R</t>
  </si>
  <si>
    <t>Climate adaptation strategies for active transportation: Barriers and facilitators in US cities</t>
  </si>
  <si>
    <t>Hall, N</t>
  </si>
  <si>
    <t>What is adaptation to climate change? Epistemic ambiguity in the climate finance system</t>
  </si>
  <si>
    <t>Beauchamp, E; Sainsbury, NC; Greene, S; Chaigneau, T</t>
  </si>
  <si>
    <t>Aligning Resilience and Wellbeing Outcomes for Locally-Led Adaptation in Tanzania</t>
  </si>
  <si>
    <t>van Bommel, N; Höffken, JI; Chatterjee, I</t>
  </si>
  <si>
    <t>Building climate resilience through energy access? An empirical study on grid connectivity in the Indian Sundarbans</t>
  </si>
  <si>
    <t>Kim, H; Marcouiller, DW; Woosnam, KM</t>
  </si>
  <si>
    <t>Rescaling social dynamics in climate change: The implications of cumulative exposure, climate justice, and community resilience</t>
  </si>
  <si>
    <t>Althor, G; Mahood, S; Witt, B; Colvin, RM; Watson, JEM</t>
  </si>
  <si>
    <t>Large-scale environmental degradation results in inequitable impacts to already impoverished communities: A case study from the floating villages of Cambodia</t>
  </si>
  <si>
    <t>Sumari, BK; Pauline, N; Mabhuye, EB</t>
  </si>
  <si>
    <t>Integrating Bottom-up and Top-down Approaches in Tanzania's Climate Change Adaptation Planning: Exploring Their Impact on Adaptive Capacity in Adaptation Projects</t>
  </si>
  <si>
    <t>JOURNAL OF DEVELOPMENT STUDIES</t>
  </si>
  <si>
    <t>Holmes, TJ; Holt, A; English, DQ</t>
  </si>
  <si>
    <t>Progress of Local Health Department Planning Actions for Climate Change: Perspectives from California, USA</t>
  </si>
  <si>
    <t>INTERNATIONAL JOURNAL OF ENVIRONMENTAL RESEARCH AND PUBLIC HEALTH</t>
  </si>
  <si>
    <t>Garcia, A; Tschakert, P; Karikari, NA; Mariwah, S; Bosompem, M</t>
  </si>
  <si>
    <t>Emancipatory spaces: Opportunities for (re)negotiating gendered subjectivities and enhancing adaptive capacities</t>
  </si>
  <si>
    <t>Pham, H; Saner, M</t>
  </si>
  <si>
    <t>A Systematic Literature Review of Inclusive Climate Change Adaption</t>
  </si>
  <si>
    <t>Ali, N; Royo, MG; Cupers, K; Ndege, GA; Campbell-Clause, J; Bennett, J</t>
  </si>
  <si>
    <t>How can Africa's urban majority reframe sustainability agendas?</t>
  </si>
  <si>
    <t>Gallez, E; Mujica, CPF; Gadeyne, S; Canters, F; Baró, F</t>
  </si>
  <si>
    <t>Nature-based school environments for all children? comparing exposure to school-related green and blue infrastructure in four European cities</t>
  </si>
  <si>
    <t>ECOLOGICAL INDICATORS</t>
  </si>
  <si>
    <t>Wiréhn, L; Käyhkö, J; Neset, TS; Juhola, S</t>
  </si>
  <si>
    <t>Analysing trade-offs in adaptation decision-making-agricultural management under climate change in Finland and Sweden</t>
  </si>
  <si>
    <t>Gallagher, D; Cruickshank, H</t>
  </si>
  <si>
    <t>Planning under new extremes: resilience and the most vulnerable</t>
  </si>
  <si>
    <t>PROCEEDINGS OF THE INSTITUTION OF CIVIL ENGINEERS-MUNICIPAL ENGINEER</t>
  </si>
  <si>
    <t>Braman, LM; Suarez, P; van Aalst, MK</t>
  </si>
  <si>
    <t>Climate change adaptation: integrating climate science into humanitarian work</t>
  </si>
  <si>
    <t>INTERNATIONAL REVIEW OF THE RED CROSS</t>
  </si>
  <si>
    <t>Scott, D; Knowles, N; Steiger, R</t>
  </si>
  <si>
    <t>Is snowmaking climate change maladaptation?</t>
  </si>
  <si>
    <t>Karim, A; Noy, I</t>
  </si>
  <si>
    <t>Risk, poverty or politics? The determinants of subnational public spending allocation for adaptive disaster risk reduction in Bangladesh</t>
  </si>
  <si>
    <t>Dhillon, CM</t>
  </si>
  <si>
    <t>Indigenous-Settler Climate Change Boundary Organizations Contending With US Colonialism</t>
  </si>
  <si>
    <t>AMERICAN BEHAVIORAL SCIENTIST</t>
  </si>
  <si>
    <t>Chapagain, D; Baarsch, F; Schaeffer, M; D'haen, S</t>
  </si>
  <si>
    <t>Climate change adaptation costs in developing countries: insights from existing estimates*</t>
  </si>
  <si>
    <t>Carmichael, C; Danks, C; Vatovec, C</t>
  </si>
  <si>
    <t>Assigning Blame: How Local Narratives Shape Community Responses to Extreme Flooding Events in Detroit, Michigan and Waterbury, Vermont</t>
  </si>
  <si>
    <t>ENVIRONMENTAL COMMUNICATION-A JOURNAL OF NATURE AND CULTURE</t>
  </si>
  <si>
    <t>Shi, L</t>
  </si>
  <si>
    <t>Promise and paradox of metropolitan regional climate adaptation</t>
  </si>
  <si>
    <t>Camuti, L</t>
  </si>
  <si>
    <t>Another Gulf Is Possible: Desired Futures Beyond Petrocolonialism</t>
  </si>
  <si>
    <t>JOURNAL OF ARCHITECTURAL EDUCATION</t>
  </si>
  <si>
    <t>Müller, B; Mitova, S</t>
  </si>
  <si>
    <t>The Hardening of the American Landscape Effects of Land Use Policy on the Evolution of Urban Surfaces</t>
  </si>
  <si>
    <t>JOURNAL OF THE AMERICAN PLANNING ASSOCIATION</t>
  </si>
  <si>
    <t>Wrenn, DH</t>
  </si>
  <si>
    <t>The Effect of Natural Disasters and Extreme Weather on Household Location Choice and Economic Welfare</t>
    <phoneticPr fontId="2" type="noConversion"/>
  </si>
  <si>
    <t>JOURNAL OF THE ASSOCIATION OF ENVIRONMENTAL AND RESOURCE ECONOMISTS</t>
  </si>
  <si>
    <t>Fankhauser, S; Martin, N</t>
  </si>
  <si>
    <t>The economics of the CDM levy: Revenue potential, tax incidence and distortionary effects</t>
  </si>
  <si>
    <t>Asplund, T; Hjerpe, M</t>
  </si>
  <si>
    <t>Project coordinators' views on climate adaptation costs and benefits - justice implications</t>
  </si>
  <si>
    <t>Parton, LC; Dundas, SJ</t>
  </si>
  <si>
    <t>Fall in the sea, eventually? A green paradox in climate adaptation for coastal housing markets</t>
  </si>
  <si>
    <t>JOURNAL OF ENVIRONMENTAL ECONOMICS AND MANAGEMENT</t>
  </si>
  <si>
    <t>Brugnach, M; van den Hoek, R</t>
  </si>
  <si>
    <t>Embracing ambiguity in climate change adaptation for more effective responses to new uncertain shorescapes conditions</t>
  </si>
  <si>
    <t>Matthews, T; Potts, R</t>
  </si>
  <si>
    <t>Planning for climigration: a framework for effective action</t>
  </si>
  <si>
    <t>Forino, G; von Meding, J; Brewer, G</t>
  </si>
  <si>
    <t>Community based initiatives to mainstream climate change adaptation into disaster risk reduction: evidence from the Hunter Valley (Australia)</t>
  </si>
  <si>
    <t>Justice in Urban Climate Change Adaptation: Criteria and Application to Delhi</t>
  </si>
  <si>
    <t>Woroniecki, S; Krüger, R; Rau, AL; Preuss, MS; Baumgartner, N; Raggers, S; Niessen, L; Holländer, L; Beyers, F; Rathgens, J; Wagner, KC; Habigt, L; Krause, T; Wamsler, C; von Wehrden, H; Abson, D</t>
  </si>
  <si>
    <t>The framing of power in climate change adaptation research</t>
  </si>
  <si>
    <t>Angula, MN; Mogotsi, I; Lendelvo, S; Aribeb, KM; Iteta, AM; Thorn, JPR</t>
  </si>
  <si>
    <t>Strengthening Gender Responsiveness of the Green Climate Fund Ecosystem-Based Adaptation Programme in Namibia</t>
  </si>
  <si>
    <t>Newell, P</t>
  </si>
  <si>
    <t>Towards a more transformative approach to climate finance</t>
  </si>
  <si>
    <t>Magnan, AK; Schipper, ELF; Duvat, VKE</t>
  </si>
  <si>
    <t>Frontiers in Climate Change Adaptation Science: Advancing Guidelines to Design Adaptation Pathways</t>
  </si>
  <si>
    <t>Eisenman, TS; Roman, LA; Oestberg, J; Campbell, LK; Svendsen, E</t>
  </si>
  <si>
    <t>Beyond the Golden Shovel: Recommendations for a Successful Urban Tree Planting Initiative</t>
  </si>
  <si>
    <t>Blaschke, P; Zari, MP; Chapman, R; Randal, E; Perry, M; Howden-Chapman, P; Gyde, E</t>
  </si>
  <si>
    <t>Multiple Roles of Green Space in the Resilience, Sustainability and Equity of Aotearoa New Zealand's Cities</t>
  </si>
  <si>
    <t>LAND</t>
  </si>
  <si>
    <t>Woroniecki, S; Wendo, H; Brink, E; Islar, M; Krause, T; Vargas, AM; Mahmoud, Y</t>
  </si>
  <si>
    <t>Nature unsettled: How knowledge and power shape 'nature-based' approaches to societal challenges</t>
  </si>
  <si>
    <t>Rahman, HMT; Hickey, GM</t>
  </si>
  <si>
    <t>What Does Autonomous Adaptation to Climate Change Have to Teach Public Policy and Planning About Avoiding the Risks of Maladaptation in Bangladesh?</t>
  </si>
  <si>
    <t>Neef, A; Benge, L</t>
  </si>
  <si>
    <t>Shifting responsibility and denying justice: New Zealand's contentious approach to Pacific climate mobilities</t>
  </si>
  <si>
    <t>Falzon, D; Sen, R</t>
  </si>
  <si>
    <t>A call for a sociology of adaptation</t>
  </si>
  <si>
    <t>SOCIOLOGICAL FORUM</t>
  </si>
  <si>
    <t>Covi, MP; Brewer, JF; Kain, DJ</t>
  </si>
  <si>
    <t>Sea level rise hazardscapes of North Carolina: Perceptions of risk and prospects for policy</t>
  </si>
  <si>
    <t>Kim, SH; Park, CY; Choi, JY; Park, C</t>
  </si>
  <si>
    <t>Exploring maladaptive patterns of small-scale green roofs through evaluation in a capacity of heat mitigation: A case study in seoul</t>
  </si>
  <si>
    <t>BUILDING AND ENVIRONMENT</t>
  </si>
  <si>
    <t>Gray, LK; Gylander, T; Mbogga, MS; Chen, PY; Hamann, A</t>
  </si>
  <si>
    <t>Assisted migration to address climate change: recommendations for aspen reforestation in western Canada</t>
    <phoneticPr fontId="2" type="noConversion"/>
  </si>
  <si>
    <t>Dialesandro, J; Brazil, N; Wheeler, S; Abunnasr, Y</t>
  </si>
  <si>
    <t>Dimensions of Thermal Inequity: Neighborhood Social Demographics and Urban Heat in the Southwestern US</t>
  </si>
  <si>
    <t>Aryal, JP; Sapkota, TB; Khurana, R; Khatri-Chhetri, A; Rahut, DB; Jat, ML</t>
  </si>
  <si>
    <t>Climate change and agriculture in South Asia: adaptation options in smallholder production systems</t>
  </si>
  <si>
    <t>Van Neste, SL; Madenian, H; Houde-Tremblay, E; Cloutier, G</t>
  </si>
  <si>
    <t>Resilient climate urbanism and the politics of experimentation for adaptation</t>
  </si>
  <si>
    <t>Averchenkova, A; Crick, F; Kocornik-Mina, A; Leck, H; Surminski, S</t>
  </si>
  <si>
    <t>Multinational and large national corporations and climate adaptation: are we asking the right questions? A review of current knowledge and a new research perspective</t>
  </si>
  <si>
    <t>Rosa, M; Haines, K; Cruz, T; Forman, F</t>
  </si>
  <si>
    <t>A binational social vulnerability index (BSVI) for the San Diego-Tijuana region: mapping trans-boundary exposure to climate change for just and equitable adaptation planning</t>
  </si>
  <si>
    <t>Stupak, N</t>
  </si>
  <si>
    <t>Adaptation of Russian agriculture to climatic variability: The role of federal and provincial policies</t>
  </si>
  <si>
    <t>Lawrence, DJ; Runyon, AN; Gross, JE; Schuurman, GW; Miller, BW</t>
  </si>
  <si>
    <t>Divergent, plausible, and relevant climate futures for near- and long-term resource planning</t>
  </si>
  <si>
    <t>Parsons, M; Nalau, J; Fisher, K; Brown, C</t>
  </si>
  <si>
    <t>Disrupting path dependency: Making room for Indigenous knowledge in river management</t>
  </si>
  <si>
    <t>Cartwright, A; Blignaut, J; De Wit, M; Goldberg, K; Mander, M; O'Donoghue, S; Roberts, D</t>
  </si>
  <si>
    <t>Economics of climate change adaptation at the local scale under conditions of uncertainty and resource constraints: the case of Durban, South Africa</t>
  </si>
  <si>
    <t>Rodriguez-Solorzano, C</t>
  </si>
  <si>
    <t>Unintended outcomes of farmers' adaptation to climate variability: deforestation and conservation in Calakmul and Maya biosphere reserves</t>
  </si>
  <si>
    <t>Yazar, M; Fide, EB; Cetinkaya, ID</t>
  </si>
  <si>
    <t>The nested hierarchy of urban vulnerability within land use policies fails to address climate injustices in Turkey</t>
  </si>
  <si>
    <t>Siders, AR; Keenan, JM</t>
  </si>
  <si>
    <t>Variables shaping coastal adaptation decisions to armor, nourish, and retreat in North Carolina</t>
  </si>
  <si>
    <t>Lockwood, JW; Oppenheimer, M; Lin, N; Gourevitch, J</t>
  </si>
  <si>
    <t>Socioeconomic distributional impacts of evaluating flood mitigation activities using equity-weighted benefit-cost analysis</t>
  </si>
  <si>
    <t>Chi, CF; Lu, SY; Lee, JD</t>
  </si>
  <si>
    <t>Ostensibly Effective Adaptive Measures Could Potentially Be Maladaptations: A Case Study of the Jiadung Coastal Area, Pingtung County, Taiwan</t>
  </si>
  <si>
    <t>COASTAL MANAGEMENT</t>
  </si>
  <si>
    <t>Mahat, TJ; Bláha, L; Uprety, B; Bittner, M</t>
  </si>
  <si>
    <t>Climate finance and green growth: reconsidering climate-related institutions, investments, and priorities in Nepal</t>
  </si>
  <si>
    <t>ENVIRONMENTAL SCIENCES EUROPE</t>
  </si>
  <si>
    <t>Sims, C; Null, S; Medellin-Azuara, J; Odame, A</t>
  </si>
  <si>
    <t>HURRY UP OR WAIT: ARE PRIVATE INVESTMENTS IN CLIMATE CHANGE ADAPTATION DELAYED?</t>
  </si>
  <si>
    <t>CLIMATE CHANGE ECONOMICS</t>
  </si>
  <si>
    <t>Cobbinah, PB; Finn, BM</t>
  </si>
  <si>
    <t>Planning and Climate Change in African Cities: Informal Urbanization and 'Just' Urban Transformations</t>
  </si>
  <si>
    <t>Berke, P; Yu, SY; Malecha, M; Cooper, J</t>
  </si>
  <si>
    <t>Plans that Disrupt Development: Equity Policies and Social Vulnerability in Six Coastal Cities</t>
  </si>
  <si>
    <t>Lieberknecht, K</t>
  </si>
  <si>
    <t>Leading with Local Knowledge: Climate Adaptation, Local Knowledge, and Participation in Austin, Texas' Network of Plans and the Co-Designed Climate Navigators' Tool and Process</t>
  </si>
  <si>
    <t>Duus-Otterström, G; Jagers, SC</t>
  </si>
  <si>
    <t>Identifying burdens of coping with climate change: A typology of the duties of climate justice</t>
  </si>
  <si>
    <t>Zango-Palau, A; Rivera-Ferre, MG; López-i-Gelats, F; Claramunt-López, B</t>
  </si>
  <si>
    <t>Applying a new protocol to avoid maladaptation shows that Degrowth is the most suitable strategy of European mountains</t>
  </si>
  <si>
    <t>Rickards, L; Howden, SM</t>
  </si>
  <si>
    <t>Transformational adaptation: agriculture and climate change</t>
  </si>
  <si>
    <t>CROP &amp; PASTURE SCIENCE</t>
  </si>
  <si>
    <t>Markanday, A; Galarraga, I; Markandya, A</t>
  </si>
  <si>
    <t>A CRITICAL REVIEW OF COST-BENEFIT ANALYSIS FOR CLIMATE CHANGE ADAPTATION IN CITIES</t>
  </si>
  <si>
    <t>Bryan, E; Bernier, Q; Espinal, M; Ringler, C</t>
  </si>
  <si>
    <t>Making climate change adaptation programmes in sub-Saharan Africa more gender responsive: insights from implementing organizations on the barriers and opportunities</t>
  </si>
  <si>
    <t>Mattila, ALK; Opedal, OH; Hällfors, MH; Pietikäinen, L; Koivusaari, SHM; Hyvärinen, MT</t>
  </si>
  <si>
    <t>The potential for evolutionary rescue in an Arctic seashore plant threatened by climate change</t>
  </si>
  <si>
    <t>PROCEEDINGS OF THE ROYAL SOCIETY B-BIOLOGICAL SCIENCES</t>
  </si>
  <si>
    <t>Makwatse, K; Modie, L; Mpalo, M; Mapitsa, CB</t>
  </si>
  <si>
    <t>Gender and Equity Considerations for Building Climate Resilience: Lessons from Rural and Periurban Botswana</t>
  </si>
  <si>
    <t>Kuhl, L; Van Maanen, K; Scyphers, S</t>
  </si>
  <si>
    <t>An analysis of UNFCCC-financed coastal adaptation projects: Assessing patterns of project design and contributions to adaptive capacity</t>
  </si>
  <si>
    <t>Ojwang, L; Rosendo, S; Celliers, L; Obura, D; Muiti, A; Kamula, J; Mwangi, M</t>
  </si>
  <si>
    <t>Assessment of Coastal Governance for Climate Change Adaptation in Kenya</t>
  </si>
  <si>
    <t>EARTHS FUTURE</t>
  </si>
  <si>
    <t>Carodenuto, S; Schwarz, B; Nelson, A; Bome, G; Andre, G</t>
  </si>
  <si>
    <t>Practice-Based Knowledge for REDD plus in Vanuatu</t>
  </si>
  <si>
    <t>SOCIETY &amp; NATURAL RESOURCES</t>
  </si>
  <si>
    <t>Sherman, M; Berrang-Ford, L; Lwasa, S; Ford, J; Namanya, DB; Llanos-Cuentas, A; Maillet, M; Harper, S</t>
  </si>
  <si>
    <t>Drawing the line between adaptation and development: a systematic literature review of planned adaptation in developing countries</t>
  </si>
  <si>
    <t>Solecki, W; Leichenko, R; O'Brien, K</t>
  </si>
  <si>
    <t>Climate change adaptation strategies and disaster risk reduction in cities: connections, contentions, and synergies</t>
  </si>
  <si>
    <t>D'Orazio, P; Valente, M</t>
  </si>
  <si>
    <t>The role of finance in environmental innovation diffusion: An evolutionary modeling approach</t>
  </si>
  <si>
    <t>JOURNAL OF ECONOMIC BEHAVIOR &amp; ORGANIZATION</t>
  </si>
  <si>
    <t>Graham, S; Barnett, J; Mortreux, C; Hurlimann, A; Fincher, R</t>
  </si>
  <si>
    <t>Local values and fairness in climate change adaptation: Insights from marginal rural Australian communities</t>
  </si>
  <si>
    <t>Shokry, G; Anguelovski, I; Connolly, JJT; Maroko, A; Pearsall, H</t>
  </si>
  <si>
    <t>They Didn't See It Coming: Green Resilience Planning and Vulnerability to Future Climate Gentrification</t>
  </si>
  <si>
    <t>HOUSING POLICY DEBATE</t>
  </si>
  <si>
    <t>Rodríguez-Gaviria, EM; Rivera-Flórez, LA; de Albuquerque, JP</t>
  </si>
  <si>
    <t>Enhancing equity of the post-disaster recovery governance through community data generation</t>
  </si>
  <si>
    <t>INTERNATIONAL JOURNAL OF DISASTER RISK REDUCTION</t>
  </si>
  <si>
    <t>Douglas, EM; Kirshen, PH; Paolisso, M; Watson, C; Wiggin, J; Enrici, A; Ruth, M</t>
  </si>
  <si>
    <t>Coastal flooding, climate change and environmental justice: identifying obstacles and incentives for adaptation in two metropolitan Boston Massachusetts communities</t>
  </si>
  <si>
    <t>Zhou, ZH; Galway, N; Megarry, W</t>
  </si>
  <si>
    <t>Exploring socio-ecological inequalities in heat by multiple and composite greenness metrics: A case study in Belfast, UK</t>
  </si>
  <si>
    <t>URBAN FORESTRY &amp; URBAN GREENING</t>
  </si>
  <si>
    <t>Zografos, C; Klause, KA; Connolly, JJT; Anguelovski, I</t>
  </si>
  <si>
    <t>The everyday politics of urban transformational adaptation: Struggles for authority and the Barcelona superblock project</t>
  </si>
  <si>
    <t>Woodruff, S; Meerow, S; Gilbertson, P; Hannibal, B; Matos, M; Roy, M; Malecha, M; Yu, SY; Berke, P</t>
  </si>
  <si>
    <t>Is flood resilience planning improving? A longitudinal analysis of networks of plans in Boston and Fort Lauderdale</t>
  </si>
  <si>
    <t>Baker, E; Kerr, RB; Deryng, D; Farrell, A; Gurney-Smith, H; Thornton, P</t>
  </si>
  <si>
    <t>Mixed farming systems: potentials and barriers for climate change adaptation in food systems</t>
  </si>
  <si>
    <t>Kreller, AM</t>
  </si>
  <si>
    <t>Transforming Fair Decision-Making About Sea-Level Rise in Cities: The Values and Beliefs of Residents in Botany Bay, Australia</t>
  </si>
  <si>
    <t>ENVIRONMENTAL VALUES</t>
  </si>
  <si>
    <t>Waters, E; Webber, S; Keele, S; Osborne, N; Rickards, L; O'Donnell, T</t>
  </si>
  <si>
    <t>Reimagining climate change research and policy from the Australian adaptation impasse</t>
  </si>
  <si>
    <t>Rahman, MF; Falzon, D; Robinson, SA; Kuhl, L; Westoby, R; Omukuti, J; Schipper, ELF; McNamara, KE; Resurrección, BP; Mfitumukiza, D; Nadiruzzaman, M</t>
  </si>
  <si>
    <t>Locally led adaptation: Promise, pitfalls, and possibilities</t>
  </si>
  <si>
    <t>Thomas, KA</t>
  </si>
  <si>
    <t>Shifting baselines of disaster mitigation</t>
  </si>
  <si>
    <t>Aakre, S; Rübbelke, DTG</t>
  </si>
  <si>
    <t>Adaptation to Climate Change in the European Union: Efficiency versus Equity Considerations</t>
    <phoneticPr fontId="2" type="noConversion"/>
  </si>
  <si>
    <t>Frank, A; Pluess, AR; Howe, GT; Sperisen, C; Heiri, C</t>
  </si>
  <si>
    <t>Quantitative genetic differentiation and phenotypic plasticity of European beech in a heterogeneous landscape: Indications for past climate adaptation</t>
  </si>
  <si>
    <t>PERSPECTIVES IN PLANT ECOLOGY EVOLUTION AND SYSTEMATICS</t>
  </si>
  <si>
    <t>Merlinsky, MG</t>
  </si>
  <si>
    <t>Mists of the Riachuelo: River Basins and Climate Change in Buenos Aires</t>
  </si>
  <si>
    <t>LATIN AMERICAN PERSPECTIVES</t>
  </si>
  <si>
    <t>Kester, J; Sovacool, BK</t>
  </si>
  <si>
    <t>Torn between war and peace: Critiquing the use of war to mobilize peaceful climate action</t>
  </si>
  <si>
    <t>Marcus, H; Hodgins, S; Muga, R</t>
  </si>
  <si>
    <t>Climate adaptation and WASH behavior change in the Lake Victoria Basin</t>
  </si>
  <si>
    <t>JOURNAL OF WATER SANITATION AND HYGIENE FOR DEVELOPMENT</t>
  </si>
  <si>
    <t>Clarke, D; Murphy, C</t>
  </si>
  <si>
    <t>Incremental adaptation when transformation fails: The importance of place-based values and trust in governance in avoiding maladaptation</t>
  </si>
  <si>
    <t>JOURNAL OF ENVIRONMENTAL PSYCHOLOGY</t>
  </si>
  <si>
    <t>Paavola, J</t>
  </si>
  <si>
    <t>Health impacts of climate change and health and social inequalities in the UK</t>
  </si>
  <si>
    <t>ENVIRONMENTAL HEALTH</t>
  </si>
  <si>
    <t>Gersonius, B; Morselt, T; van Nieuwenhuijzen, L; Ashley, R; Zevenbergen, C</t>
  </si>
  <si>
    <t>How the Failure to Account for Flexibility in the Economic Analysis of Flood Risk and Coastal Management Strategies Can Result in Maladaptive Decisions</t>
  </si>
  <si>
    <t>JOURNAL OF WATERWAY PORT COASTAL AND OCEAN ENGINEERING</t>
  </si>
  <si>
    <t>Pourzand, F; Bolton, A; Salter, C; Hales, S; Woodward, A</t>
  </si>
  <si>
    <t>Health and climate change: adaptation policy in Aotearoa New Zealand</t>
  </si>
  <si>
    <t>LANCET REGIONAL HEALTH-WESTERN PACIFIC</t>
  </si>
  <si>
    <t>Bro, AS</t>
  </si>
  <si>
    <t>Climate Change Adaptation, Food Security, and Attitudes toward Risk among Smallholder Coffee Farmers in Nicaragua</t>
  </si>
  <si>
    <t>Bailey-Winiata, AP; Gallop, SL; White, I; Wotherspoon, L; Fa'aui, T; Dickson, M; Ellis, J</t>
  </si>
  <si>
    <t>Looking backwards to move forwards: insights for climate change adaptation from historical Māori relocation due to natural hazards in Aotearoa New Zealand</t>
  </si>
  <si>
    <t>He, J; Zhang, LM; Xiao, T; Wang, HJ; Luo, HY</t>
  </si>
  <si>
    <t>Prompt Quantitative Risk Assessment for Rain-Induced Landslides</t>
  </si>
  <si>
    <t>JOURNAL OF GEOTECHNICAL AND GEOENVIRONMENTAL ENGINEERING</t>
  </si>
  <si>
    <t>Yang, J; Andriesse, E</t>
  </si>
  <si>
    <t>Cumulative adaptation and linkages among adaptation, coping and vulnerability: a case of riverside slum households in Phnom Penh, Cambodia</t>
  </si>
  <si>
    <t>Bi, P; Shi, XM; Liu, QY</t>
    <phoneticPr fontId="2" type="noConversion"/>
  </si>
  <si>
    <t>Climate change and population health research in China: Knowledge gaps and further directions</t>
  </si>
  <si>
    <t>ADVANCES IN CLIMATE CHANGE RESEARCH</t>
  </si>
  <si>
    <t>Costa, C Jr; Thornton, P; Wollenberg, E</t>
  </si>
  <si>
    <t>Global hotspots of climate change adaptation and mitigation in agriculture</t>
  </si>
  <si>
    <t>Tang, B; Man, J; Romero, F; Bergmann, J; Lehmann, A; Rillig, MC</t>
  </si>
  <si>
    <t>Mycorrhization enhances plant growth and stabilizes biomass allocation under drought</t>
  </si>
  <si>
    <t>GLOBAL CHANGE BIOLOGY</t>
  </si>
  <si>
    <t>Jaramillo-Correa, JP; Rodríguez-Quilón, I; Grivet, D; Lepoittevin, C; Sebastiani, F; Heuertz, M; Garnier-Géré, PH; Alía, R; Plomion, C; Vendramin, GG; González-Martínez, SC</t>
  </si>
  <si>
    <t>Molecular Proxies for Climate Maladaptation in a Long-Lived Tree (Pinus pinaster Aiton, Pinaceae)</t>
  </si>
  <si>
    <t>GENETICS</t>
  </si>
  <si>
    <t>Sharma, SE</t>
  </si>
  <si>
    <t>Urban climate resilience under racial capitalism: Governing pluvial flooding across Amsterdam and Dhaka</t>
  </si>
  <si>
    <t>Adloff, S; Rehdanz, K</t>
  </si>
  <si>
    <t>Responsibility attribution and community support of coastal adaptation to climate change: Evidence from a choice experiment in the Maldives</t>
  </si>
  <si>
    <t>JOURNAL OF CHOICE MODELLING</t>
  </si>
  <si>
    <t>Sharp, D; Sadliwala, B; Al-Shammari, A</t>
  </si>
  <si>
    <t>Recognising the right to urban climate justice in Kuwait</t>
  </si>
  <si>
    <t>Meeks, RC; Pokhrel, A</t>
  </si>
  <si>
    <t>The Economics of Electricity and Development: Planning for Growth and a Changing Climate</t>
  </si>
  <si>
    <t>ANNUAL REVIEW OF RESOURCE ECONOMICS</t>
  </si>
  <si>
    <t>Caggiano, H; Kocakusak, D; Kumar, P; Tier, MO</t>
  </si>
  <si>
    <t>U.S. cities' integration and evaluation of equity considerations into climate action plans</t>
  </si>
  <si>
    <t>NPJ URBAN SUSTAINABILITY</t>
  </si>
  <si>
    <t>Kori, DS</t>
  </si>
  <si>
    <t>A typology of climate adaptation costs for a smallholder maize farming system</t>
  </si>
  <si>
    <t>Henrique, KP; Tschakert, P</t>
  </si>
  <si>
    <t>Pathways to urban transformation: From dispossession to climate justice</t>
  </si>
  <si>
    <t>PROGRESS IN HUMAN GEOGRAPHY</t>
  </si>
  <si>
    <t>Cannon, SE</t>
  </si>
  <si>
    <t>Climate change denial and the jeopardised interest of the United States in the Freely Associated States of Micronesia</t>
  </si>
  <si>
    <t>Simon, D; Leck, H</t>
  </si>
  <si>
    <t>Understanding climate adaptation and transformation challenges in African cities</t>
  </si>
  <si>
    <t>Johnson, D; Parsons, M; Fisher, K</t>
  </si>
  <si>
    <t>Adaptation at whose expense? Explicating the maladaptive potential of water storage and climate-resilient growth for Ma over bar ori women in northern Aotearoa</t>
  </si>
  <si>
    <t>Vogel, C; Mukute, M; Coetzer, K; Gwata, M</t>
  </si>
  <si>
    <t>Creating a climate of change in the City of Johannesburg: Co-learning to adapt to climate change</t>
  </si>
  <si>
    <t>SOUTH AFRICAN JOURNAL OF SCIENCE</t>
  </si>
  <si>
    <t>Paauw, M; Smith, G; Crabbé, A; Fournier, M; af Rosenschöld, JM; Priest, S; Rekola, A</t>
  </si>
  <si>
    <t>Recognition of differences in the capacity to deal with floods-A cross-country comparison of flood risk management</t>
  </si>
  <si>
    <t>JOURNAL OF FLOOD RISK MANAGEMENT</t>
  </si>
  <si>
    <t>Pecharroman, LC; Hahn, C</t>
  </si>
  <si>
    <t>Exposing disparities in flood adaptation for equitable future interventions in the USA</t>
  </si>
  <si>
    <t>NATURE COMMUNICATIONS</t>
  </si>
  <si>
    <t>Singh, C; Iyer, S; New, MG; Few, R; Kuchimanchi, B; Segnon, AC; Morchain, D</t>
  </si>
  <si>
    <t>Interrogating 'effectiveness' in climate change adaptation: 11 guiding principles for adaptation research and practice</t>
  </si>
  <si>
    <t>Bower, ER; Badamikar, A; Wong-Parodi, G; Field, CB</t>
  </si>
  <si>
    <t>Enabling pathways for sustainable livelihoods in planned relocation</t>
  </si>
  <si>
    <t>Dong, J; Schwartz, Y; Korolija, I; Mumovic, D</t>
  </si>
  <si>
    <t>Unintended consequences of English school stock energy-efficient retrofit on cognitive performance of children under climate change</t>
  </si>
  <si>
    <t>Kori, DS; Musakwa, W; Kelso, C</t>
  </si>
  <si>
    <t>A bibliometric analysis of smallholder farmers' climate change adaptation challenges: a SADC region outlook</t>
  </si>
  <si>
    <t>Ghazali, S; Azadi, H; Kurban, A; Ajtai, N; Pietrzykowski, M; Witlox, F</t>
  </si>
  <si>
    <t>Determinants of farmers' adaptation decisions under changing climate: the case of Fars province in Iran</t>
  </si>
  <si>
    <t>Trundle, A</t>
  </si>
  <si>
    <t>Resilient cities in a Sea of Islands: Informality and climate change in the South Pacific</t>
  </si>
  <si>
    <t>Weesie, R</t>
  </si>
  <si>
    <t>Towards Adaptive Commons: A Case Study of Agro-Pastoral Dams in Northern Ghana</t>
  </si>
  <si>
    <t>Lebel, L; Salamanca, A; Kallayanamitra, C</t>
  </si>
  <si>
    <t>The governance of adaptation financing: pursuing legitimacy at multiple levels</t>
  </si>
  <si>
    <t>Kuhl, L</t>
  </si>
  <si>
    <t>Policy making under scarcity: reflections for designing socially just climate adaptation policy</t>
  </si>
  <si>
    <t>Chen, YL; Ge, DY; Ericson, PGP; Song, G; Wen, ZX; Luo, X; Yang, QS; Lei, FM; Qu, YH</t>
  </si>
  <si>
    <t>Alpine burrow-sharing mammals and birds show similar population-level climate change risks</t>
  </si>
  <si>
    <t>Pritchard, B; Thielemans, R</t>
  </si>
  <si>
    <t>'Rising Waters Don't Lift All Boats': a sustainable livelihood analysis of recursive cycles of vulnerability and maladaptation to flood risk in rural Bihar, India</t>
  </si>
  <si>
    <t>AUSTRALIAN GEOGRAPHER</t>
  </si>
  <si>
    <t>Greene, C</t>
  </si>
  <si>
    <t>Broadening understandings of drought - The climate vulnerability of farmworkers and rural communities in California (USA)</t>
  </si>
  <si>
    <t>Greer, A; Binder, SB; Zavar, E</t>
  </si>
  <si>
    <t>From Hazard Mitigation to Climate Adaptation: A Review of Home Buyout Program Literature</t>
  </si>
  <si>
    <t>Sautner, Z; van Lent, L; Vilkov, G; Zhang, RS</t>
  </si>
  <si>
    <t>Pricing Climate Change Exposure</t>
  </si>
  <si>
    <t>MANAGEMENT SCIENCE</t>
  </si>
  <si>
    <t>Nunn, PD; Klöck, C; Duvat, V</t>
  </si>
  <si>
    <t>Seawalls as maladaptations along island coasts</t>
  </si>
  <si>
    <t>Szuwalski, CS; Hollowed, AB; Holsman, KK; Ianelli, JN; Legault, CM; Melnychuk, MC; Ovando, D; Punt, AE</t>
  </si>
  <si>
    <t>Unintended consequences of climate-adaptive fisheries management targets</t>
  </si>
  <si>
    <t>FISH AND FISHERIES</t>
  </si>
  <si>
    <t>Mikulewicz, M</t>
  </si>
  <si>
    <t>Thwarting adaptation's potential? A critique of resilience and climate-resilient development</t>
  </si>
  <si>
    <t>Adam, HN; Kjosavik, DJ; Shanmugaratnam, N</t>
  </si>
  <si>
    <t>Adaptation trajectories and challenges in the Western Ghats: A case study of Attappady, south India</t>
  </si>
  <si>
    <t>JOURNAL OF RURAL STUDIES</t>
  </si>
  <si>
    <t>Mutua, JY; Marshall, K; Paul, BK; Notenbaert, AMO</t>
  </si>
  <si>
    <t>A methodology for mapping current and future heat stress risk in pigs</t>
  </si>
  <si>
    <t>ANIMAL</t>
  </si>
  <si>
    <t>Wang, AQ; Chan, E</t>
  </si>
  <si>
    <t>Institutional factors affecting urban green space provision ? from a local government revenue perspective</t>
  </si>
  <si>
    <t>Kim, S; Sun, FP; Irazábal, C</t>
  </si>
  <si>
    <t>Planning for Climate Change Implications of High Temperatures and Extreme Heat for Los Angeles County (CA)</t>
  </si>
  <si>
    <t>Argumedo, A; Song, YC; Khoury, CK; Hunter, D; Dempewolf, H; Guarino, L; de Haan, S</t>
  </si>
  <si>
    <t>Biocultural Diversity for Food System Transformation Under Global Environmental Change</t>
  </si>
  <si>
    <t>Di Giulio, GM; Torres, RR; Lapola, DM; Bedran-Martins, AM; Vasconcellos, MD; Braga, DR; Fuck, MP; Juk, Y; Nogueira, V; Penna, AC; Jacaúna, T; Fetz, M; Pessoa, Z; Pontes, R; Schons, M; Premebida, A</t>
  </si>
  <si>
    <t>Bridging the gap between will and action on climate change adaptation in large cities in Brazil</t>
  </si>
  <si>
    <t>Holzkämper, A</t>
  </si>
  <si>
    <t>Adapting Agricultural Production Systems to Climate Change-What's the Use of Models?</t>
  </si>
  <si>
    <t>AGRICULTURE-BASEL</t>
  </si>
  <si>
    <t>Chen, YY; Gao, YC; Zhang, ZX; Zhan, AB</t>
  </si>
  <si>
    <t>Multi-Omics Inform Invasion Risks Under Global Climate Change</t>
  </si>
  <si>
    <t>Chaudhari, VR; Mishra, A</t>
  </si>
  <si>
    <t>Multilevel policy responses to mainstream climate adaptation through watershed development in rainfed farming systems of India</t>
  </si>
  <si>
    <t>Woelfle-Erskine, C</t>
  </si>
  <si>
    <t>Collaborative Approaches to Flow Restoration in Intermittent Salmon-Bearing Streams: Salmon Creek, CA, USA</t>
  </si>
  <si>
    <t>Savvidou, G; Atteridge, A; Omari-Motsumi, K; Trisos, CH</t>
  </si>
  <si>
    <t>Quantifying international public finance for climate change adaptation in Africa</t>
  </si>
  <si>
    <t>Gajjar, SP; Singh, C; Deshpande, T</t>
  </si>
  <si>
    <t>Tracing back to move ahead: a review of development pathways that constrain adaptation futures</t>
  </si>
  <si>
    <t>Périé, C; de Blois, S</t>
  </si>
  <si>
    <t>Dominant forest tree species are potentially vulnerable to climate change over large portions of their range even at high latitudes</t>
  </si>
  <si>
    <t>PEERJ</t>
  </si>
  <si>
    <t>Drought isn't just water, it is living: Narratives of drought vulnerability in California's San Joaquin Valley</t>
  </si>
  <si>
    <t>Ahn, Y; Uejio, CK; Wong, S; Powell, E; Holmes, T</t>
  </si>
  <si>
    <t>Spatial disparities in air conditioning ownership in Florida, United States</t>
  </si>
  <si>
    <t>JOURNAL OF MAPS</t>
  </si>
  <si>
    <t>Burley, JG; McAllister, RRJ; Collins, KA; Lovelock, CE</t>
  </si>
  <si>
    <t>Integration, synthesis and climate change adaptation: a narrative based on coastal wetlands at the regional scale</t>
  </si>
  <si>
    <t>Nepal, R; Liu, Y; Dong, KY</t>
  </si>
  <si>
    <t>Adaptive capacity to climate change: Does energy aid matter?</t>
  </si>
  <si>
    <t>ENERGY ECONOMICS</t>
  </si>
  <si>
    <t>Klasic, M; Fencl, A; Ekstrom, JA; Ford, A</t>
  </si>
  <si>
    <t>Adapting to extreme events: small drinking water system manager perspectives on the 2012-2016 California Drought</t>
  </si>
  <si>
    <t>Robinson, SA; Wren, C</t>
  </si>
  <si>
    <t>Geographies of vulnerability: a research note on human system adaptations to climate change in the Caribbean</t>
  </si>
  <si>
    <t>GEOGRAFISK TIDSSKRIFT-DANISH JOURNAL OF GEOGRAPHY</t>
  </si>
  <si>
    <t>Wissman, N; Levy, D; Nyberg, D</t>
  </si>
  <si>
    <t>Catastrophe to Consensus: Hegemonic performativity in climate adaptation</t>
  </si>
  <si>
    <t>ORGANIZATION STUDIES</t>
  </si>
  <si>
    <t>Dascher, ED; Zavar, E; Greer, A; Binder, SB</t>
  </si>
  <si>
    <t>Biophilia as climate justice for post-buyout land management</t>
  </si>
  <si>
    <t>APPLIED GEOGRAPHY</t>
  </si>
  <si>
    <t>Hegger, DLT; Mees, HLP; Driessen, PPJ; Runhaar, HAC</t>
  </si>
  <si>
    <t>The Roles of Residents in Climate Adaptation: A systematic review in the case of the Netherlands</t>
  </si>
  <si>
    <t>Chu, E; Anguelovski, I; Carmin, J</t>
  </si>
  <si>
    <t>Inclusive approaches to urban climate adaptation planning and implementation in the Global South</t>
  </si>
  <si>
    <t>Dilling, L; Daly, ME; Travis, WR; Wilhelmi, OV; Klein, RA</t>
  </si>
  <si>
    <t>The dynamics of vulnerability: why adapting to climate variability will not always prepare us for climate change</t>
  </si>
  <si>
    <t>Buzási, A; Csizovszky, A</t>
  </si>
  <si>
    <t>Urban sustainability and resilience: What the literature tells us about lock-ins?</t>
  </si>
  <si>
    <t>From Progressive Cities to Resilient Cities: Lessons from History for New Debates in Equitable Adaptation to Climate Change</t>
  </si>
  <si>
    <t>URBAN AFFAIRS REVIEW</t>
  </si>
  <si>
    <t>Deslatte, A; Helmke-Long, L; Stokan, E; Chung, JW</t>
  </si>
  <si>
    <t>Economies of Inequality? Polycentric Metropolitan Governance and Strategic Sustainability Choices</t>
  </si>
  <si>
    <t>Sorgho, R; Bhatt, M; Danquah, I; Sauerborn, R</t>
  </si>
  <si>
    <t>Institutional barriers to climate change and health adaptation in Burkina Faso</t>
  </si>
  <si>
    <t>Gini, G; Piggott-McKellar, A; Wiegel, H; Neu, F; Link, AC; Fry, C; Tabe, T; Adegun, O; Wade, C; Bower, ER; Koeltzow, S; Harrington-Abrams, R; Jacobs, C; van der Geest, K; Zivdar, N; Alaniz, R; Cherop, C; Durand-Delacre, D; Pill, M; Shekhar, H; Yates, O; Khan, MAA; Nansam-Aggrey, FK; Grant, L; Nizar, DA; Owusu-Daaku, KN; Praeto, A; Stefancu, O; Yee, M</t>
  </si>
  <si>
    <t>Navigating tensions in climate change-related planned relocation</t>
  </si>
  <si>
    <t>Tan, YT; Ochoa, JJ; Langston, C; Shen, LY</t>
  </si>
  <si>
    <t>An empirical study on the relationship between sustainability performance and business competitiveness of international construction contractors</t>
  </si>
  <si>
    <t>Kim, H; Woosnam, KM; Kim, H; Lim, CH</t>
  </si>
  <si>
    <t>Green infrastructure and energy justice in health adaptation: leveraging climate policy innovation and vulnerability-readiness nexus</t>
  </si>
  <si>
    <t>Eckersley, P; Olazabal, M</t>
  </si>
  <si>
    <t>Adapting to climate change: the ultimate challenge for the next half-century of local government?</t>
  </si>
  <si>
    <t>LOCAL GOVERNMENT STUDIES</t>
  </si>
  <si>
    <t>Byskov, MF</t>
  </si>
  <si>
    <t>The Right to Climate Adaptation</t>
  </si>
  <si>
    <t>ETHICAL THEORY AND MORAL PRACTICE</t>
  </si>
  <si>
    <t>de Moor, J</t>
  </si>
  <si>
    <t>Prioritizing adaptation and mitigation in the climate movement: evidence from a cross-national protest survey of the Global Climate Strike, 2019</t>
  </si>
  <si>
    <t>Woroniecki, S; Spiegelenberg, FA; Chausson, A; Turner, B; Key, I; Irfanullah, HM; Seddon, N</t>
  </si>
  <si>
    <t>Contributions of nature-based solutions to reducing people's vulnerabilities to climate change across the rural Global South</t>
  </si>
  <si>
    <t>Barrowman, HM; Kumar, M</t>
  </si>
  <si>
    <t>Conceptions of vulnerability in adaptation projects: a critical examination of the role of development aid agencies in Timor-Leste</t>
  </si>
  <si>
    <t>Pemberton, S; Furlong, BT; Scanlan, O; Koubi, V; Guhathakurta, M; Hossain, MK; Warner, J; Roth, D</t>
  </si>
  <si>
    <t>'Staying' as climate change adaptation strategy: A proposed research agenda</t>
  </si>
  <si>
    <t>Lanza, K; Durand, CP</t>
  </si>
  <si>
    <t>Heat-Moderating Effects of Bus Stop Shelters and Tree Shade on Public Transport Ridership</t>
  </si>
  <si>
    <t>Yeager, R; Browning, MHEM; Breyer, E; Ossola, A; Larson, LR; Riggs, DW; Rigolon, A; Chandler, C; Fleischer, D; Keith, R; Walker, K; Hart, JL; Smith, T; Bhatnagar, A</t>
  </si>
  <si>
    <t>Greenness and equity: Complex connections between intra-neighborhood contexts and residential tree planting implementation</t>
  </si>
  <si>
    <t>ENVIRONMENT INTERNATIONAL</t>
  </si>
  <si>
    <t>Pappalardo, SE; Zanetti, C; Todeschi, V</t>
  </si>
  <si>
    <t>Mapping urban heat islands and heat-related risk during heat waves from a climate justice perspective: A case study in the municipality of Padua (Italy) for inclusive adaptation policies</t>
  </si>
  <si>
    <t>Gallegos, C; Hodgins, KA; Monro, K</t>
  </si>
  <si>
    <t>Climate adaptation and vulnerability of foundation species in a global change hotspot</t>
  </si>
  <si>
    <t>MOLECULAR ECOLOGY</t>
  </si>
  <si>
    <t>Adeyinka, AA; Kath, J; Nguyen-Huy, T; Mushtaq, S; Souvignet, M; Range, M; Barratt, J</t>
  </si>
  <si>
    <t>Global disparities in agricultural climate index-based insurance research</t>
  </si>
  <si>
    <t>Sun, JY; Chow, ACH; Madanat, SM</t>
  </si>
  <si>
    <t>Tradeoffs between optimality and equity in transportation network protection against sea level rise</t>
  </si>
  <si>
    <t>TRANSPORTATION RESEARCH PART A-POLICY AND PRACTICE</t>
  </si>
  <si>
    <t>Barreira, AP; Andraz, J; Ferreira, V; Panagopoulos, T</t>
  </si>
  <si>
    <t>Relevance of ecosystem services and disservices from green infrastructure perceived by the inhabitants of two Portuguese cities dealing with climate change: implications for environmental and intersectional justice</t>
  </si>
  <si>
    <t>Rahman, HMT; Sherren, K; van Proosdij, D</t>
  </si>
  <si>
    <t>Institutional Innovation for Nature-Based Coastal Adaptation: Lessons from Salt Marsh Restoration in Nova Scotia, Canada</t>
  </si>
  <si>
    <t>Capblancq, T; Lachmuth, S; Fitzpatrick, MC; Keller, SR</t>
  </si>
  <si>
    <t>From common gardens to candidate genes: exploring local adaptation to climate in red spruce</t>
  </si>
  <si>
    <t>NEW PHYTOLOGIST</t>
  </si>
  <si>
    <t>Schaer, C</t>
  </si>
  <si>
    <t>Condemned to live with one's feet in water? A case study of community based strategies and urban maladaptation in flood prone Pikine/Dakar, Senegal</t>
  </si>
  <si>
    <t>Arsenio, E; Martens, K; Di Ciommo, F</t>
  </si>
  <si>
    <t>Sustainable urban mobility plans: Bridging climate change and equity targets?</t>
  </si>
  <si>
    <t>RESEARCH IN TRANSPORTATION ECONOMICS</t>
  </si>
  <si>
    <t>Ison, RL; Collins, KB; Wallis, PJ</t>
  </si>
  <si>
    <t>Institutionalising social learning: Towards systemic and adaptive governance</t>
  </si>
  <si>
    <t>Remling, E; Meijer, K</t>
  </si>
  <si>
    <t>Conflict considerations in the United Nations Framework Convention on Climate Change's National Adaptation Plans</t>
  </si>
  <si>
    <t>Cousins, JJ</t>
  </si>
  <si>
    <t>Just nature-based solutions and the pursuit of climate resilient urban development</t>
  </si>
  <si>
    <t>Rahman, HMT; Albizua, A; Soubry, B; Tourangeau, W</t>
  </si>
  <si>
    <t>A framework for using autonomous adaptation as a leverage point in sustainable climate adaptation</t>
  </si>
  <si>
    <t>Reckien, D; Buzasi, A; Olazabal, M; Spyridaki, NA; Eckersley, P; Simoes, SG; Salvia, M; Pietrapertosa, F; Fokaides, P; Goonesekera, SM; Tardieu, L; Balzan, MV; de Boer, CL; Hurtado, SD; Feliu, E; Flamos, A; Foley, A; Geneletti, D; Grafakos, S; Heidrich, O; Ioannou, B; Krook-Riekkola, A; Matosovic, M; Orru, H; Orru, K; Paspaldzhiev, I; Riznar, K; Smigaj, M; Csete, MS; Viguié, V; Wejs, A</t>
  </si>
  <si>
    <t>Quality of urban climate adaptation plans over time</t>
  </si>
  <si>
    <t>Thomas, KA; Warner, BP</t>
  </si>
  <si>
    <t>Weaponizing vulnerability to climate change</t>
  </si>
  <si>
    <t>Wong-Parodi, G</t>
  </si>
  <si>
    <t>Support for public safety power shutoffs in California: Wildfire-related perceived exposure and negative outcomes, prior and current health, risk appraisal and worry</t>
  </si>
  <si>
    <t>Barrett, S; Chaitanya, RSK</t>
  </si>
  <si>
    <t>Getting private investment in adaptation to work: Effective adaptation, value, and cash flows</t>
  </si>
  <si>
    <t>Jafino, BA; Kwakkel, JH; Klijn, F; Dung, NV; van Delden, H; Haasnoot, M; Sutanudjaja, EH</t>
  </si>
  <si>
    <t>Accounting for Multisectoral Dynamics in Supporting Equitable Adaptation Planning: A Case Study on the Rice Agriculture in the Vietnam Mekong Delta</t>
  </si>
  <si>
    <t>An Analytical Framework for Assessing Context-Specific Rural Livelihood Vulnerability</t>
  </si>
  <si>
    <t>Corburn, J; Sverdlik, A</t>
  </si>
  <si>
    <t>Slum Upgrading and Health Equity</t>
  </si>
  <si>
    <t>INTERNATIONAL JOURNAL OF ENVIRONMENTAL RESEARCH AND PUBLIC HEALTH</t>
    <phoneticPr fontId="2" type="noConversion"/>
  </si>
  <si>
    <t>Piggott-McKellar, AE; McNamara, KE; Nunn, PD; Watson, JEM</t>
  </si>
  <si>
    <t>What are the barriers to successful community-based climate change adaptation? A review of grey literature</t>
  </si>
  <si>
    <t>Friel, S; Hancock, T; Kjellstrom, T; McGranahan, G; Monge, P; Roy, J</t>
  </si>
  <si>
    <t>Urban Health Inequities and the Added Pressure of Climate Change: An Action-Oriented Research Agenda</t>
  </si>
  <si>
    <t>JOURNAL OF URBAN HEALTH-BULLETIN OF THE NEW YORK ACADEMY OF MEDICINE</t>
  </si>
  <si>
    <t>Blasiak, R; Wabnitz, CCC</t>
  </si>
  <si>
    <t>Aligning fisheries aid with international development targets and goals</t>
  </si>
  <si>
    <t>Kalinowski, T</t>
  </si>
  <si>
    <t>The Green Climate Fund and private sector climate finance in the Global South</t>
  </si>
  <si>
    <t>Escriva-Bou, A; Pulido-Velazquez, M; Pulido-Velazquez, D</t>
  </si>
  <si>
    <t>Economic Value of Climate Change Adaptation Strategies for Water Management in Spain's Jucar Basin</t>
  </si>
  <si>
    <t>JOURNAL OF WATER RESOURCES PLANNING AND MANAGEMENT</t>
  </si>
  <si>
    <t>Vicarelli, M; Sudmeier-Rieux, K; Alsadadi, A; Shrestha, A; Schuetze, S; Kang, MM; Leue, M; Wasielewski, D; Mysiak, J</t>
  </si>
  <si>
    <t>On the cost-effectiveness of Nature-based Solutions for reducing disaster risk</t>
  </si>
  <si>
    <t>SCIENCE OF THE TOTAL ENVIRONMENT</t>
  </si>
  <si>
    <t>Hendawy, M</t>
  </si>
  <si>
    <t>Visualizing climate targets: mapping the 93 funded EU Erasmus plus projects versus SDGs and horizon missions targets</t>
  </si>
  <si>
    <t>Forsyth, T; McDermott, CL; Dhakal, R</t>
  </si>
  <si>
    <t>What is equitable about equitable resilience? Dynamic risks and subjectivities in Nepal</t>
  </si>
  <si>
    <t>Olmstead, SM</t>
  </si>
  <si>
    <t>Climate change adaptation and water resource management: A review of the literature</t>
  </si>
  <si>
    <t>Ajibade, I; Sullivan, M; Lower, C; Yarina, L; Reilly, A</t>
  </si>
  <si>
    <t>Are managed retreat programs successful and just? A global mapping of success typologies, justice dimensions, and trade-offs</t>
  </si>
  <si>
    <t>GLOBAL ENVIRONMENTAL CHANGE</t>
    <phoneticPr fontId="2" type="noConversion"/>
  </si>
  <si>
    <t>Lissner, TK; Möller, T; Caretta, MA; Mukherji, A</t>
  </si>
  <si>
    <t>Effectiveness of water-related adaptation decreases with increasing warming</t>
  </si>
  <si>
    <t>Haverkamp, JAR</t>
  </si>
  <si>
    <t>Politics, values, and reflexivity: The case of adaptation to climate change in Hampton Roads, Virginia</t>
  </si>
  <si>
    <t>Kerr, RB; Kangmennaang, J; Dakishoni, L; Nyantakyi-Frimpong, H; Lupafya, E; Shumba, L; Msachi, R; Boateng, GO; Snapp, SS; Chitaya, A; Maona, E; Gondwe, T; Nkhonjera, P; Luginaah, I</t>
  </si>
  <si>
    <t>Participatory agroecological research on climate change adaptation improves smallholder farmer household food security and dietary diversity in Malawi</t>
  </si>
  <si>
    <t>AGRICULTURE ECOSYSTEMS &amp; ENVIRONMENT</t>
  </si>
  <si>
    <t>Rampa, A; Gadanakis, Y; Rose, G</t>
  </si>
  <si>
    <t>Land Reform in the Era of Global Warming-Can Land Reforms Help Agriculture Be Climate-Smart?</t>
  </si>
  <si>
    <t>Romanach, L; Boulaire, F; Fleming, A; Capon, T; Bluhm, S; Lin, BB</t>
  </si>
  <si>
    <t>Australia's National Climate Risk Assessment: Identifying climate risk interdependencies within the infrastructure and built environment system for effective climate adaptation</t>
  </si>
  <si>
    <t>Cheng, ZQ; Zhang, MY; Cheng, XN; Ma, XX; Fan, YB</t>
  </si>
  <si>
    <t>Improving factor efficiency under climate change through adaptive behavior: analysis of genetically modified insect-resistant cotton</t>
    <phoneticPr fontId="2" type="noConversion"/>
  </si>
  <si>
    <t>CLIMATE RESEARCH</t>
  </si>
  <si>
    <t>Glavovic, BC</t>
  </si>
  <si>
    <t>Towards deliberative coastal governance: insights from South Africa and the Mississippi Delta</t>
  </si>
  <si>
    <t>Rumbach, A; Németh, J</t>
  </si>
  <si>
    <t>Disaster risk creation in the Darjeeling Himalayas: Moving toward justice</t>
    <phoneticPr fontId="2" type="noConversion"/>
  </si>
  <si>
    <t>Long, J; Rice, JL</t>
  </si>
  <si>
    <t>Climate urbanism: crisis, capitalism, and intervention</t>
  </si>
  <si>
    <t>Taylor, J; Levine, NS; Muhammad, E; Porter, DE; Watson, AM; Sandifer, PA</t>
  </si>
  <si>
    <t>Participatory and Spatial Analyses of Environmental Justice Communities' Concerns about a Proposed Storm Surge and Flood Protection Seawall</t>
  </si>
  <si>
    <t>Johnson, DE; Fisher, K; Parsons, M</t>
  </si>
  <si>
    <t>Diversifying Indigenous Vulnerability and Adaptation: An Intersectional Reading of Maori Women's Experiences of Health, Wellbeing, and Climate Change</t>
  </si>
  <si>
    <t>Goto, EA; Domingue, SJ; Kalafatis, S; Ramos, RG; Salap-Ayça, S</t>
  </si>
  <si>
    <t>Do the type of impact and vulnerability dimension matter when assessing natural hazard vulnerability?</t>
  </si>
  <si>
    <t>Revanth, R; Sofia, DS; Abraham, A; Flower, FXLL</t>
  </si>
  <si>
    <t>A review on social work and climate change: the need for a transdisciplinary approach</t>
  </si>
  <si>
    <t>JOURNAL OF SOCIAL WORK PRACTICE</t>
  </si>
  <si>
    <t>Lotfata, A; Cortesao, J; Zinsmeister, H; Steeneveld, GJ; van Zeben, J; Taylor, Z; Tan, WY; Elkhateeb, S</t>
  </si>
  <si>
    <t>Climate adaptation in informal areas in hot arid climates</t>
  </si>
  <si>
    <t>SUSTAINABLE DEVELOPMENT</t>
  </si>
  <si>
    <t>Gourevitch, JD; Pinter, N</t>
  </si>
  <si>
    <t>Federal incentives for community-level climate adaptation: an evaluation of FEMA's Community Rating System</t>
  </si>
  <si>
    <t>Wolf, C; Ripple, WJ; Crist, E</t>
  </si>
  <si>
    <t>Human population, social justice, and climate policy</t>
  </si>
  <si>
    <t>Sinha, P; Coville, RC; Hirabayashi, S; Lim, B; Endreny, TA; Nowak, DJ</t>
  </si>
  <si>
    <t>Variation in estimates of heat-related mortality reduction due to tree cover in US cities</t>
  </si>
  <si>
    <t>Yoder, L; Cain, A; Rao, A; Geiger, N; Kravitz, B; Mercer, M; Miniard, D; Nepal, S; Nunn, T; Sluder, M; Weiler, G; Attari, SZ</t>
  </si>
  <si>
    <t>Muddling through Climate Change: A Qualitative Exploration of India and US Climate Experts' Perspectives on Solutions, Pathways, and Barriers</t>
  </si>
  <si>
    <t>Powell, N; Larsen, RK; de Bruin, A; Powell, S; Elrick-Barr, C</t>
  </si>
  <si>
    <t>Water Security in Times of Climate Change and Intractability: Reconciling Conflict by Transforming Security Concerns into Equity Concerns</t>
  </si>
  <si>
    <t>Piggott-McKellar, AE; McNamara, KE; Nunn, PD</t>
  </si>
  <si>
    <t>Who defines good climate change adaptation and why it matters: a case study from Abaiang Island, Kiribati</t>
  </si>
  <si>
    <t>Reckien, D; Petkova, EP</t>
  </si>
  <si>
    <t>Who is responsible for climate change adaptation?</t>
  </si>
  <si>
    <t>Bowen, KJ; Ebi, K; Friel, S; McMichael, AJ</t>
  </si>
  <si>
    <t>A multi-layered governance framework for incorporating social science insights into adapting to the health impacts of climate change</t>
  </si>
  <si>
    <t>GLOBAL HEALTH ACTION</t>
  </si>
  <si>
    <t>Akturk, G; Fluck, H</t>
  </si>
  <si>
    <t>Vernacular Heritage as a Response to Climate: Lessons for Future Climate Resilience from Rize, Turkey</t>
  </si>
  <si>
    <t>Lo, AY; Chow, AT</t>
  </si>
  <si>
    <t>The relationship between climate change concern and national wealth</t>
  </si>
  <si>
    <t>Grodnik-Nagle, A; Sukhdev, A; Vogel, J; Herrick, C</t>
  </si>
  <si>
    <t>Beyond Climate Ready? A History of Seattle Public Utilities' Ongoing Evolution from Environmental and Climate Risk Management to Integrated Sustainability</t>
  </si>
  <si>
    <t>Anguelovski, I; Irazábal-Zurita, C; Connolly, JJT</t>
  </si>
  <si>
    <t>Grabbed Urban Landscapes: Socio-spatial Tensions in Green Infrastructure Planning in Medellin</t>
  </si>
  <si>
    <t>INTERNATIONAL JOURNAL OF URBAN AND REGIONAL RESEARCH</t>
  </si>
  <si>
    <t>Singh, C; Madhavan, M; Arvind, J; Bazaz, A</t>
  </si>
  <si>
    <t>Climate change adaptation in Indian cities: A review of existing actions and spaces for triple wins</t>
  </si>
  <si>
    <t>Bossio, CF; Ford, J; Labbé, D</t>
  </si>
  <si>
    <t>Adaptive capacity in urban areas of developing countries</t>
  </si>
  <si>
    <t>Mirenda, C; Chavero, EL</t>
  </si>
  <si>
    <t>Cultural vulnerability, risk reduction and gender equity: two Mexican coastal communities</t>
  </si>
  <si>
    <t>Soleimani-Chamkhorami, K; Karbalaie, A; Kasraei, A; Haghighi, E; Famurewa, SM; Garmabaki, AHS</t>
  </si>
  <si>
    <t>Identifying climate-related failures in railway infrastructure using machine learning</t>
  </si>
  <si>
    <t>Ambrey, C; Byrne, J; Matthews, T; Davison, A; Portanger, C; Lo, A</t>
  </si>
  <si>
    <t>Cultivating climate justice: Green infrastructure and suburban disadvantage in Australia</t>
  </si>
  <si>
    <t>Jellason, NP; Conway, JS; Baines, RN</t>
  </si>
  <si>
    <t>Exploring smallholders' cultural beliefs and their implication for adaptation to climate change in North-Western Nigeria</t>
  </si>
  <si>
    <t>SOCIAL SCIENCE JOURNAL</t>
  </si>
  <si>
    <t>Zhang, FX; Xiang, TY</t>
  </si>
  <si>
    <t>Attending to the unattended: Why and how do local governments plan for access and functional needs in climate risk reduction?</t>
  </si>
  <si>
    <t>Thom, D; Rammer, W; Seidl, R</t>
  </si>
  <si>
    <t>Disturbances catalyze the adaptation of forest ecosystems to changing climate conditions</t>
  </si>
  <si>
    <t>Asibey, MO; Yeboah, V</t>
  </si>
  <si>
    <t>Investigating climate change adaptation strategies among informal residents in Kumasi through the lenses of the social action and social control theories</t>
  </si>
  <si>
    <t>McDonough, KR; Hutchinson, SL; Hutchinson, JMS</t>
  </si>
  <si>
    <t>DECLINING SOIL MOISTURE THREATENS WATER AVAILABILITY IN THE US GREAT PLAINS</t>
    <phoneticPr fontId="2" type="noConversion"/>
  </si>
  <si>
    <t>TRANSACTIONS OF THE ASABE</t>
  </si>
  <si>
    <t>Nnadi, OI; Lyimo, JG; Liwenga, ET; Madukwe, MC</t>
  </si>
  <si>
    <t>Equity and implications of response strategies on gender relations: Identifying ways of mainstreaming gender into response strategies in Southeast Nigeria</t>
  </si>
  <si>
    <t>Landreth, N; Saito, O</t>
  </si>
  <si>
    <t>An Ecosystem Services Approach to Sustainable Livelihoods in the Homegardens of Kandy, Sri Lanka</t>
  </si>
  <si>
    <t>Eriksen, S; Aldunce, P; Bahinipati, CS; Martins, RD; Molefe, JI; Nhemachena, C; O'Brien, K; Olorunfemi, F; Park, J; Sygna, L; Ulsrud, K</t>
  </si>
  <si>
    <t>When not every response to climate change is a good one: Identifying principles for sustainable adaptation</t>
  </si>
  <si>
    <t>Gustafsson, MT; Schilling-Vacaflor, A</t>
  </si>
  <si>
    <t>Indigenous Peoples and Multiscalar Environmental Governance: The Opening and Closure of Participatory Spaces</t>
  </si>
  <si>
    <t>Naylor, LA; Brady, U; Quinn, T; Brown, K; Anderies, JM</t>
  </si>
  <si>
    <t>A multiscale analysis of social-ecological system robustness and vulnerability in Cornwall, UK</t>
  </si>
  <si>
    <t>Gmoser-Daskalakis, K; Scott, TA; Lubell, M; Vantaggiato, FP</t>
  </si>
  <si>
    <t>An item response approach to sea-level rise policy preferences in a nascent subsystemPalabras clave(sic)(sic)(sic)</t>
  </si>
  <si>
    <t>REVIEW OF POLICY RESEARCH</t>
  </si>
  <si>
    <t>Gaps in the governance of floods, droughts, and heatwaves in the United Kingdom</t>
  </si>
  <si>
    <t>FRONTIERS IN EARTH SCIENCE</t>
  </si>
  <si>
    <t>Farbotko, C; McMichael, C; Dun, O; Ransan-Cooper, H; McNamara, KE; Thornton, F</t>
  </si>
  <si>
    <t>Transformative mobilities in the Pacific: Promoting adaptation and development in a changing climate</t>
  </si>
  <si>
    <t>ASIA &amp; THE PACIFIC POLICY STUDIES</t>
  </si>
  <si>
    <t>Stock, R</t>
  </si>
  <si>
    <t>Bright as night: Illuminating the antinomies of 'gender positive' solar development</t>
  </si>
  <si>
    <t>Elliott, JR; Wang, ZY</t>
  </si>
  <si>
    <t>Managed retreat: a nationwide study of the local, racially segmented resettlement of homeowners from rising flood risks</t>
  </si>
  <si>
    <t>Choi, DA; Park, K; Rigolon, A</t>
  </si>
  <si>
    <t>From XS to XL Urban Nature: Examining Access to Different Types of Green Space Using a 'Just Sustainabilities' Framework</t>
  </si>
  <si>
    <t>Yazar, M; Cetinkaya, ID; Iban, MC; Bilgilioglu, SS</t>
  </si>
  <si>
    <t>The green divide and heat exposure: urban transformation projects in istanbul</t>
  </si>
  <si>
    <t>Davis, K; Ford, JD; Quinn, CH; Mosurska, A; Flynn, M; Harper, SL</t>
  </si>
  <si>
    <t>Shifting Safeties and Mobilities on the Land in Arctic North America: A Systematic Approach to Identifying the Root Causes of Disaster</t>
  </si>
  <si>
    <t>Bonati, S</t>
  </si>
  <si>
    <t>Contested flood risk reduction: An analysis of environmental and social claims in the city of Genoa</t>
  </si>
  <si>
    <t>Nyantakyi-Frimpong, H</t>
  </si>
  <si>
    <t>What lies beneath: Climate change, land expropriation, and zai agroecological innovations by smallholder farmers in Northern Ghana</t>
  </si>
  <si>
    <t>Sekulova, F; Mallén, IR</t>
  </si>
  <si>
    <t>The governance configurations of green schoolyards</t>
  </si>
  <si>
    <t>Fenton, A; Paavola, J; Tallontire, A</t>
  </si>
  <si>
    <t>The Role of Microfinance in Household Livelihood Adaptation in Satkhira District, Southwest Bangladesh</t>
  </si>
  <si>
    <t>Idrissou, Y; Seidou, AA; Tossou, FM; Worogo, HSS; Baco, MN; Adjassin, JS; Assogba, BGC; Traore, IA</t>
  </si>
  <si>
    <t>Perception of climate change by cattle farmers in dry and sub-humid tropical zones of Benin: comparison with meteorological data</t>
  </si>
  <si>
    <t>CAHIERS AGRICULTURES</t>
  </si>
  <si>
    <t>Rockman, M</t>
  </si>
  <si>
    <t>Capacity of the US federal system for cultural heritage to meet challenges of climate change</t>
  </si>
  <si>
    <t>PROCEEDINGS OF THE NATIONAL ACADEMY OF SCIENCES OF THE UNITED STATES OF AMERICA</t>
  </si>
  <si>
    <t>Barnett, J; Farbotko, C; Kitara, T; Aselu, B</t>
  </si>
  <si>
    <t>Migration as Adaptation? The Falepili Union Between Australia and Tuvalu</t>
  </si>
  <si>
    <t>Basharat, M; Tariq, AUR</t>
  </si>
  <si>
    <t>Command-scale integrated water management in response to spatial climate variability in Lower Bari Doab Canal irrigation system</t>
    <phoneticPr fontId="2" type="noConversion"/>
  </si>
  <si>
    <t>WATER POLICY</t>
  </si>
  <si>
    <t>Villamor, GB; Dunningham, A; Stahlmann-Brown, P; Clinton, PW</t>
  </si>
  <si>
    <t>Improving the Representation of Climate Change Adaptation Behaviour in New Zealand's Forest Growing Sector</t>
  </si>
  <si>
    <t>Lo, AY; Liu, SW; Cheung, LTO</t>
  </si>
  <si>
    <t>Political-economic transformation and the reproduction of climate change vulnerability of a high-income city</t>
  </si>
  <si>
    <t>Antoci, A; Borghesi, S; Galeotti, M; Russu, P</t>
  </si>
  <si>
    <t>Maladaptation to environmental degradation and the interplay between negative and positive externalities</t>
  </si>
  <si>
    <t>EUROPEAN ECONOMIC REVIEW</t>
  </si>
  <si>
    <t>Herrera, JSC; MacAskill, K</t>
  </si>
  <si>
    <t>Navigating institutional complexity for the adaptation of urban transport infrastructure</t>
  </si>
  <si>
    <t>Mosadeghrad, AM; Isfahani, P; Eslambolchi, L; Zahmatkesh, M; Afshari, M</t>
  </si>
  <si>
    <t>Strategies to strengthen a climate-resilient health system: a scoping review</t>
  </si>
  <si>
    <t>Aviso, KB; Mayol, AP; Promentilla, MAB; Santos, JR; Tan, RR; Ubando, AT; Yu, KDS</t>
  </si>
  <si>
    <t>Allocating human resources in organizations operating under crisis conditions: A fuzzy input-output optimization modeling framework</t>
  </si>
  <si>
    <t>RESOURCES CONSERVATION AND RECYCLING</t>
  </si>
  <si>
    <t>Frohlich, M; Smith, TF; Fidelman, P; Baldwin, C; Jacobson, C; Carter, RW</t>
  </si>
  <si>
    <t>Towards adaptive coastal management law: Lessons from Australia and Brazil</t>
  </si>
  <si>
    <t>Riechers, M; Baumann, L; Braun, M; Ganachaud, A; Heeg, P; Sabinot, C</t>
  </si>
  <si>
    <t>We cannot escape this: discussing leverage points for sustainability across scales with the example of Ouvéa, Kanaky New Caledonia</t>
  </si>
  <si>
    <t>Eisenhauer, E; Maxwell, K; Kiessling, B; Henson, S; Matsler, M; Nee, R; Shacklette, M; Fry, M; Julius, S</t>
  </si>
  <si>
    <t>Inclusive engagement for equitable resilience: community case study insights</t>
  </si>
  <si>
    <t>Masten, SJ; Harris, A; Kearns, J; Borrion, A; Peters, CA; Gadhamshetty, VR</t>
  </si>
  <si>
    <t>Global Environmental Engineering for and with Historically Marginalized Communities</t>
  </si>
  <si>
    <t>ENVIRONMENTAL ENGINEERING SCIENCE</t>
  </si>
  <si>
    <t>Xie, WW; Meng, QM</t>
  </si>
  <si>
    <t>Spatial and temporal analysis of vulnerability disparity of minorities to wildfires in California</t>
  </si>
  <si>
    <t>Boyce, GA; Launius, S; Williams, J; Miller, T</t>
  </si>
  <si>
    <t>Alter-geopolitics and the feminist challenge to the securitization of climate policy</t>
  </si>
  <si>
    <t>GENDER PLACE AND CULTURE</t>
  </si>
  <si>
    <t>Whyte, KP</t>
  </si>
  <si>
    <t>Justice forward: Tribes, climate adaptation and responsibility</t>
  </si>
  <si>
    <t>He, BJ; Zhao, DX; Dong, X; Xiong, K; Feng, C; Qi, QL; Darko, A; Sharifi, A; Pathak, M</t>
  </si>
  <si>
    <t>Perception, physiological and psychological impacts, adaptive awareness and knowledge, and climate justice under urban heat: A study in extremely hot-humid Chongqing, China</t>
  </si>
  <si>
    <t>Scott, D</t>
  </si>
  <si>
    <t>Tourism and the climate crisis</t>
  </si>
  <si>
    <t>Chuku, CA</t>
  </si>
  <si>
    <t>Pursuing an integrated development and climate policy framework in Africa: options for mainstreaming</t>
  </si>
  <si>
    <t>Frost, L; Miller, F</t>
  </si>
  <si>
    <t>Planning for social justice, anticipating sea level rise: the case of Lake Macquarie, Australia</t>
  </si>
  <si>
    <t>Huang, QQ; Long, CH; Wei, LS; Yi, CZ</t>
  </si>
  <si>
    <t>Does low-carbon city pilot lead to adaptation? Empirical research from 267 prefecture-level cities in China</t>
  </si>
  <si>
    <t>INTERNATIONAL JOURNAL OF URBAN SCIENCES</t>
  </si>
  <si>
    <t>Ma, ATH; Wong, GKL; Cheung, LTO; Lo, AY; Jim, CY</t>
  </si>
  <si>
    <t>Climate change perception and adaptation of residents in Hong Kong</t>
  </si>
  <si>
    <t>Lopera, CCF; Mendes, JM; Barata, EJ; Trejo-Rangel, MA</t>
  </si>
  <si>
    <t>Community and governmental perspectives on climate disaster risk finance instruments in Colombia</t>
  </si>
  <si>
    <t>Patnaik, U; Das, PK; Bahinipati, CS</t>
  </si>
  <si>
    <t>Development interventions, adaptation decisions and farmers' well-being: evidence from drought-prone households in rural India</t>
  </si>
  <si>
    <t>Delgado-Capel, M; Cariñanos, P</t>
  </si>
  <si>
    <t>Towards a Standard Framework to Identify Green Infrastructure Key Elements in Dense Mediterranean Cities</t>
  </si>
  <si>
    <t>Borghi, J; Cuevas, S; Anton, B; Iaia, D; Gasparri, G; Hanson, MA; Soucat, A; Bustreo, F; Langlois, E</t>
  </si>
  <si>
    <t>Climate and health: a path to strategic co-financing?</t>
  </si>
  <si>
    <t>HEALTH POLICY AND PLANNING</t>
  </si>
  <si>
    <t>Ford, JD; Stephenson, E; Willox, AC; Edge, V; Farahbakhsh, K; Furgal, C; Harper, S; Chatwood, S; Mauro, I; Pearce, T; Austin, S; Bunce, A; Bussalleu, A; Diaz, J; Finner, K; Gordon, A; Huet, C; Kitching, K; Lardeau, MP; McDowell, G; McDonald, E; Nakoneczny, L; Sherman, M</t>
  </si>
  <si>
    <t>Community-based adaptation research in the Canadian Arctic</t>
  </si>
  <si>
    <t>Dube, K</t>
  </si>
  <si>
    <t>A Comprehensive Review of Climatic Threats and Adaptation of Marine Biodiversity</t>
  </si>
  <si>
    <t>JOURNAL OF MARINE SCIENCE AND ENGINEERING</t>
  </si>
  <si>
    <t>Dang, HL; Li, E; Bruwer, J; Nuberg, I</t>
  </si>
  <si>
    <t>Farmers' perceptions of climate variability and barriers to adaptation: lessons learned from an exploratory study in Vietnam</t>
  </si>
  <si>
    <t>Seddon, N; Chausson, A; Berry, P; Girardin, CAJ; Smith, A; Turner, B</t>
  </si>
  <si>
    <t>Understanding the value and limits of nature-based solutions to climate change and other global challenges</t>
  </si>
  <si>
    <t>Min, YH; Lee, HW</t>
  </si>
  <si>
    <t>Quantifying clean energy justice: Impact of Solarize programs on rooftop solar disparities in the Pacific Northwest</t>
  </si>
  <si>
    <t>Bossio, CF; Labbé, D; Ford, J</t>
  </si>
  <si>
    <t>Urban dwellers' adaptive capacity as a socio-psychological process: Insights from Lima, Peru</t>
  </si>
  <si>
    <t>Kilwenge, R; Adewopo, J; Sun, ZL; Schut, M</t>
  </si>
  <si>
    <t>UAV-Based Mapping of Banana Land Area for Village-Level Decision-Support in Rwanda</t>
  </si>
  <si>
    <t>REMOTE SENSING</t>
  </si>
  <si>
    <t>Chelleri, L; Minucci, G; Skrimizea, E</t>
  </si>
  <si>
    <t>Does community resilience decrease social-ecological vulnerability? Adaptation pathways trade-off in the Bolivian Altiplano</t>
  </si>
  <si>
    <t>Lin, PSS</t>
  </si>
  <si>
    <t>Building resilience through ecosystem restoration and community participation: Post-disaster recovery in coastal island communities</t>
  </si>
  <si>
    <t>Kim, HG; Lee, DK; Jung, H; Kil, SH; Park, JH; Park, C; Tanaka, R; Seo, C; Kim, H; Kong, W; Oh, K; Choi, J; Oh, YJ; Hwang, G; Song, CK</t>
  </si>
  <si>
    <t>Finding key vulnerable areas by a climate change vulnerability assessment</t>
  </si>
  <si>
    <t>Wu, JE; Yang, B; Cheng, F; Zhao, F; Ma, S; Yuan, X; Zeng, HH; Tang, C; Yang, K; Zhao, L</t>
  </si>
  <si>
    <t>Decoding lake water dynamics to optimize watershed agriculture through isotopic analyses of memory effects and hydrological connectivity</t>
  </si>
  <si>
    <t>Nazli, S; Liu, JH; Wang, HB; Soomro, SEH</t>
  </si>
  <si>
    <t>Water resources in Pakistan: a comprehensive overview and management challenges</t>
  </si>
  <si>
    <t>JOURNAL OF WATER AND CLIMATE CHANGE</t>
  </si>
  <si>
    <t>Zeng, P; Shi, DC; Helbich, M; Sun, FY; Zhao, HY; Liu, YY; Che, Y</t>
  </si>
  <si>
    <t>Gender disparities in summer outdoor heat risk across China: Findings from a national county-level assessment during 1991-2020</t>
  </si>
  <si>
    <t>Marter-Kenyon, J</t>
  </si>
  <si>
    <t>Origins and functions of climate-related relocation: An analytical review</t>
  </si>
  <si>
    <t>ANTHROPOCENE REVIEW</t>
  </si>
  <si>
    <t>Hobbie, SE; Grimm, NB</t>
  </si>
  <si>
    <t>Nature-based approaches to managing climate change impacts in cities</t>
  </si>
  <si>
    <t>McDowell, G; Harris, L; Koppes, M; Price, MF; Chan, KMA; Lama, DG</t>
  </si>
  <si>
    <t>From needs to actions: prospects for planned adaptations in high mountain communities</t>
  </si>
  <si>
    <t>Li, LY; Uyttenhove, P; Vaneetvelde, V</t>
  </si>
  <si>
    <t>Planning green infrastructure to mitigate urban surface water flooding risk - A methodology to identify priority areas applied in the city of Ghent</t>
  </si>
  <si>
    <t>Rittelmeyer, P</t>
  </si>
  <si>
    <t>Socio-cultural perceptions of flood risk and management of a levee system: Applying the Q methodology in the California Delta</t>
  </si>
  <si>
    <t>Nyiwul, L</t>
  </si>
  <si>
    <t>Climate change adaptation and inequality in Africa: Case of water, energy and food insecurity</t>
  </si>
  <si>
    <t>Garschagen, M; Surtiari, GAK; Harb, M</t>
  </si>
  <si>
    <t>Is Jakarta's New Flood Risk Reduction Strategy Transformational?</t>
  </si>
  <si>
    <t>Datta, R; Kibria, A</t>
  </si>
  <si>
    <t>Indigenous women-led climate crisis solutions: A decolonial perspective from the Garo Indigenous community in Bangladesh</t>
  </si>
  <si>
    <t>POLITICAL GEOGRAPHY</t>
  </si>
  <si>
    <t>Smith, W</t>
  </si>
  <si>
    <t>Climates of control: Violent adaptation and climate change in the Philippines</t>
  </si>
  <si>
    <t>Romero-Lankao, P</t>
  </si>
  <si>
    <t>Governing Carbon and Climate in the Cities: An Overview of Policy and Planning Challenges and Options</t>
  </si>
  <si>
    <t>EUROPEAN PLANNING STUDIES</t>
  </si>
  <si>
    <t>Tu, JC; Reimuth, A; Sairam, N; Kreibich, H; Katzschner, A; Downes, NK; Garschagen, M</t>
  </si>
  <si>
    <t>Profiling households through a combined vulnerability and flood exposure index in Ho Chi Minh City, Vietnam</t>
  </si>
  <si>
    <t>Arkhurst, BM; Poku-Boansi, M; Adarkwa, KK</t>
  </si>
  <si>
    <t>Indigenous knowledge in climate change adaptation: Choice of indigenous adaptation responses to coastal erosion in Ghanaian communities</t>
  </si>
  <si>
    <t>Kranabetter, JM; Stoehr, MU; O'Neill, GA</t>
  </si>
  <si>
    <t>Divergence in ectomycorrhizal communities with foreign Douglas-fir populations and implications for assisted migration</t>
  </si>
  <si>
    <t>Ghanian, M; Ghoochani, OM; Dehghanpour, M; Taqipour, M; Taheri, F; Cotton, M</t>
  </si>
  <si>
    <t>Understanding farmers' climate adaptation intention in Iran: A protection-motivation extended model</t>
  </si>
  <si>
    <t>Akanbi, RT; Davis, N; Ndarana, T</t>
  </si>
  <si>
    <t>Assessing South Africa's institutional adaptive capacity to maize production in the context of climate change: Integration of a socioeconomic development dimension</t>
  </si>
  <si>
    <t>INTEGRATED ENVIRONMENTAL ASSESSMENT AND MANAGEMENT</t>
  </si>
  <si>
    <t>Ghosh, S</t>
  </si>
  <si>
    <t>Do bankers on board fulfill their role? Corporate social responsibility, environmental concerns and firm leverage</t>
  </si>
  <si>
    <t>CORPORATE SOCIAL RESPONSIBILITY AND ENVIRONMENTAL MANAGEMENT</t>
  </si>
  <si>
    <t>Insaf, TZ; Lin, S; Sheridan, SC</t>
  </si>
  <si>
    <t>Climate trends in indices for temperature and precipitation across New York State, 1948-2008</t>
  </si>
  <si>
    <t>AIR QUALITY ATMOSPHERE AND HEALTH</t>
  </si>
  <si>
    <t>Edmonds, C; Noy, I</t>
  </si>
  <si>
    <t>The economics of disaster risks and impacts in the Pacific</t>
  </si>
  <si>
    <t>Khan, N; Ma, JL; Kassem, HS; Kazim, R; Ray, RL; Ihtisham, M; Zhang, SM</t>
  </si>
  <si>
    <t>Rural Farmers' Cognition and Climate Change Adaptation Impact on Cash Crop Productivity: Evidence from a Recent Study</t>
  </si>
  <si>
    <t>Uji, A; Song, J; Dolsak, N; Prakash, A</t>
  </si>
  <si>
    <t>Willingness to incur private costs for climate adaptation? Public support for undergrounding electricity transmission lines in California</t>
  </si>
  <si>
    <t>Fladvad, B; Klepp, S; Dünckmann, F</t>
  </si>
  <si>
    <t>Struggling against land loss: Environmental (in)justice and the geography of emerging rights</t>
  </si>
  <si>
    <t>Kabisch, N; Frantzeskaki, N; Pauleit, S; Naumann, S; Davis, M; Artmann, M; Haase, D; Knapp, S; Korn, H; Stadler, J; Zaunberger, K; Bonn, A</t>
  </si>
  <si>
    <t>Nature-based solutions to climate change mitigation and adaptation in urban areas: perspectives on indicators, knowledge gaps, barriers, and opportunities for action</t>
  </si>
  <si>
    <t>James, SW; Friel, S</t>
  </si>
  <si>
    <t>An integrated approach to identifying and characterising resilient urban food systems to promote population health in a changing climate</t>
  </si>
  <si>
    <t>PUBLIC HEALTH NUTRITION</t>
  </si>
  <si>
    <t>Gold, DF; Reed, PM; Gorelick, DE; Characklis, GW</t>
  </si>
  <si>
    <t>Advancing Regional Water Supply Management and Infrastructure Investment Pathways That Are Equitable, Robust, Adaptive, and Cooperatively Stable</t>
  </si>
  <si>
    <t>Mendoza, DL; Crosman, ET; Anderson, C; Gonzales, SA</t>
  </si>
  <si>
    <t>Environmental Refuges during Summertime Heat and Elevated Ozone Levels: A Preliminary Case Study of an Urban Cool Zone Building</t>
  </si>
  <si>
    <t>BUILDINGS</t>
  </si>
  <si>
    <t>Ziaja, S</t>
  </si>
  <si>
    <t>How Algorithm-Assisted Decision Making Is Influencing Environmental Law and Climate Adaptation</t>
    <phoneticPr fontId="2" type="noConversion"/>
  </si>
  <si>
    <t>ECOLOGY LAW QUARTERLY</t>
  </si>
  <si>
    <t>Hlahla, S</t>
  </si>
  <si>
    <t>Gender perspectives of the water, energy, land, and food security nexus in sub-Saharan Africa</t>
  </si>
  <si>
    <t>Surtiari, GAK; Wannewitz, M; Prasetyoputra, P; Siagian, TH; Garschagen, M</t>
  </si>
  <si>
    <t>Indonesia's social protection system: the relevance of informal social protection to strengthen adaptation to climate change</t>
  </si>
  <si>
    <t>Brink, E; Aalders, T; Adám, D; Feller, R; Henselek, Y; Hoffmann, A; Ibe, K; Matthey-Doret, A; Meyer, M; Negrut, NL; Rau, AL; Riewerts, B; von Schuckmann, L; Törnros, S; von Wehrden, H; Abson, DJ; Wamsler, C</t>
  </si>
  <si>
    <t>Cascades of green: A review of ecosystem-based adaptation in urban areas</t>
  </si>
  <si>
    <t>Symons, K</t>
  </si>
  <si>
    <t>Anti-politics, Apocalypse and Adaptation in Kenya's National Climate Change Response Strategy</t>
  </si>
  <si>
    <t>Alvarez, S; Larkin, SL; Ropicki, A</t>
  </si>
  <si>
    <t>Optimizing provision of ecosystem services using modern portfolio theory</t>
  </si>
  <si>
    <t>Gu, XY; Chen, PY; Fan, C</t>
  </si>
  <si>
    <t>Socio-demographic inequalities in the impacts of extreme temperatures on population mobility</t>
  </si>
  <si>
    <t>JOURNAL OF TRANSPORT GEOGRAPHY</t>
  </si>
  <si>
    <t>Thomalla, F; Boyland, M; Johnson, K; Ensor, J; Tuhkanen, H; Swartling, ÅG; Han, GY; Forrester, J; Wahl, D</t>
  </si>
  <si>
    <t>Transforming Development and Disaster Risk</t>
  </si>
  <si>
    <t>Guardaro, M; Gastelum, A; Winkle, R; Encinas, MM; Vanos, J; Bassett, S; Hondula, D</t>
  </si>
  <si>
    <t>HeatReady Neighborhoods: A Planning Rubric for Extreme Heat</t>
  </si>
  <si>
    <t>Sparling, TM; Offner, C; Deeney, M; Denton, P; Bash, K; Juel, R; Moore, S; Kadiyala, S</t>
  </si>
  <si>
    <t>Intersections of Climate Change with Food Systems, Nutrition, and Health: An Overview and Evidence Map</t>
  </si>
  <si>
    <t>ADVANCES IN NUTRITION</t>
  </si>
  <si>
    <t>Fischer, HW; Chhatre, A; Devalkar, S; Sohoni, M</t>
  </si>
  <si>
    <t>Rural institutions, social networks, and self-organized adaptation to climate change</t>
  </si>
  <si>
    <t>Gibbs, MT; Newlands, M</t>
  </si>
  <si>
    <t>Restoration heralds' new management challenges for coral reefs</t>
  </si>
  <si>
    <t>Zhu, JL; Zhou, WQ; Yu, WJ; Wang, WM</t>
  </si>
  <si>
    <t>Block-level spatial integration of population density, social vulnerability, and heavy precipitation reveals intensified urban flooding risk</t>
  </si>
  <si>
    <t>Gabbe, CJ; Pierce, G; Petermann, E; Marecek, A</t>
  </si>
  <si>
    <t>Why and How Do Cities Plan for Extreme Heat?</t>
  </si>
  <si>
    <t>Peck, AJ; Adams, SL; Armstrong, A; Bartlett, AK; Bortman, ML; Branco, AB; Brown, ML; Donohue, JL; Kodis, M; McCann, MJ; Smith, E</t>
  </si>
  <si>
    <t>A new framework for flood adaptation: introducing the Flood Adaptation Hierarchy</t>
  </si>
  <si>
    <t>Li, XJ; Ma, XL; Lyu, F; Song, Y</t>
  </si>
  <si>
    <t>Examine the environmental inequity impact of urban heat mitigation on redlining legacy: case study of Charlotte's retrofitting, 2001-2020</t>
  </si>
  <si>
    <t>Sovacool, BK; Baum, CM; Low, S</t>
  </si>
  <si>
    <t>Beyond climate stabilization: Exploring the perceived sociotechnical co-impacts of carbon removal and solar geoengineering</t>
  </si>
  <si>
    <t>Ortiz, MSO; Geneletti, D</t>
  </si>
  <si>
    <t>Assessing Mismatches in the Provision of Urban Ecosystem Services to Support Spatial Planning: A Case Study on Recreation and Food Supply in Havana, Cuba</t>
  </si>
  <si>
    <t>Osberghaus, D; Abeling, T</t>
  </si>
  <si>
    <t>Heat vulnerability and adaptation of low-income households in Germany</t>
  </si>
  <si>
    <t>Bridges, A; LoPresti, A; Parris, A; Horton, R</t>
  </si>
  <si>
    <t>Advancing urban climate adaptation through knowledge exchange: A case study of New York City</t>
  </si>
  <si>
    <t>Bouramdane, AA</t>
  </si>
  <si>
    <t>Crafting an optimal portfolio for sustainable hydrogen production choices in Morocco</t>
  </si>
  <si>
    <t>FUEL</t>
  </si>
  <si>
    <t>Lanza, KV; Jones, J; Acuna, F; Coudert, M; Bixler, RP; Kamath, H; Niyogi, D</t>
  </si>
  <si>
    <t>Heat vulnerability of Latino and Black residents in a low-income community and their recommended adaptation strategies: A qualitative study</t>
  </si>
  <si>
    <t>Kollmann, J; Nath, S; Singh, S; Balasubramanian, S; Scheidegger, A; Contzen, N</t>
  </si>
  <si>
    <t>Perceived distributive fairness and public acceptance of a policy mandating on-site wastewater treatment and reuse</t>
  </si>
  <si>
    <t>Posas, PJ</t>
  </si>
  <si>
    <t>Exploring climate change criteria for strategic environmental assessments</t>
  </si>
  <si>
    <t>PROGRESS IN PLANNING</t>
  </si>
  <si>
    <t>Doberstein, B; Fitzgibbons, J; Mitchell, C</t>
  </si>
  <si>
    <t>Protect, accommodate, retreat or avoid (PARA): Canadian community options for flood disaster risk reduction and flood resilience</t>
  </si>
  <si>
    <t>Teicher, HM</t>
  </si>
  <si>
    <t>Anchor Institutions as Adaptation Allies: promises and pitfalls of joint urban/military adaptation planning in US cities</t>
  </si>
  <si>
    <t>Buckwell, A; Fleming, C; Muurmans, M; Smart, JCR; Ware, D; Mackey, B</t>
  </si>
  <si>
    <t>Revealing the dominant discourses of stakeholders towards natural resource management in Port Resolution, Vanuatu, using Q-method</t>
  </si>
  <si>
    <t>Blackburn, S; Pelling, M</t>
  </si>
  <si>
    <t>The political impacts of adaptation actions: Social contracts, a research agenda</t>
  </si>
  <si>
    <t>Degefu, MA; Assen, M; Satyal, P; Budds, J</t>
  </si>
  <si>
    <t>Villagization and access to water resources in the Middle Awash Valley of Ethiopia: implications for climate change adaptation</t>
  </si>
  <si>
    <t>Clissold, R; McNamara, KE</t>
  </si>
  <si>
    <t>Exploring local perspectives on the performance of a community-based adaptation project on Aniwa, Vanuatu</t>
  </si>
  <si>
    <t>McClenachan, L; Moulton, A</t>
  </si>
  <si>
    <t>Transitions from wild-caught fisheries to shellfish and seaweed aquaculture increase gender equity in Maine</t>
  </si>
  <si>
    <t>Bisaro, A; de Bel, M; Hinkel, J; Kok, S; Bouwer, LM</t>
  </si>
  <si>
    <t>Leveraging public adaptation finance through urban land reclamation: cases from Germany, the Netherlands and the Maldives</t>
  </si>
  <si>
    <t>Obringer, R; Nateghi, R</t>
  </si>
  <si>
    <t>What makes a city 'smart' in the Anthropocene? A critical review of smart cities under climate change</t>
  </si>
  <si>
    <t>Jesdale, BM; Morello-Frosch, R; Cushing, L</t>
  </si>
  <si>
    <t>The Racial/Ethnic Distribution of Heat Risk-Related Land Cover in Relation to Residential Segregation</t>
  </si>
  <si>
    <t>ENVIRONMENTAL HEALTH PERSPECTIVES</t>
  </si>
  <si>
    <t>Silva, LCR; Wood, MC; Johnson, BR; Coughlan, MR; Brinton, H; McGuire, K; Bridgham, SD</t>
  </si>
  <si>
    <t>A generalizable framework for enhanced natural climate solutions</t>
  </si>
  <si>
    <t>PLANT AND SOIL</t>
  </si>
  <si>
    <t>Winter, AK; Karvonen, A</t>
  </si>
  <si>
    <t>Climate governance at the fringes: Peri-urban flooding drivers and responses</t>
  </si>
  <si>
    <t>Yumagulova, L; Vertinsky, I</t>
  </si>
  <si>
    <t>Managing trade-offs between specific and general resilience: Insights from Canada's Metro Vancouver region</t>
  </si>
  <si>
    <t>Lesnikowski, A; Jodoin, S; Lemay, JP; Thomson, V; Johnson, K</t>
  </si>
  <si>
    <t>Human rights in climate change adaptation policies: a systematic assessment</t>
  </si>
  <si>
    <t>de Sherbinin, A; Bukvic, A; Rohat, G; Gall, M; McCusker, B; Preston, B; Apotsos, A; Fish, C; Kienberger, S; Muhonda, P; Wilhelmi, O; Macharia, D; Shubert, W; Sliuzas, R; Tomaszewski, B; Zhang, SA</t>
  </si>
  <si>
    <t>Climate vulnerability mapping: A systematic review and future prospects</t>
  </si>
  <si>
    <t>Roy, S; Vinayak, P; Von Stroh, D</t>
  </si>
  <si>
    <t>Modeling Demographic Relocation in Response to Climate Risk Factors and Gentrification Displacement Pressures</t>
  </si>
  <si>
    <t>TRANSPORTATION RESEARCH RECORD</t>
  </si>
  <si>
    <t>Yarina, L; Mazereeuw, M; Ovalles, L</t>
  </si>
  <si>
    <t>A retreat critique: Deliberations on design and ethics in the flood zone</t>
  </si>
  <si>
    <t>JOURNAL OF LANDSCAPE ARCHITECTURE</t>
  </si>
  <si>
    <t>OhAiseadha, C; Quinn, G; Connolly, R; Connolly, M; Soon, W</t>
  </si>
  <si>
    <t>Energy and Climate Policy-An Evaluation of Global Climate Change Expenditure 2011-2018</t>
  </si>
  <si>
    <t>ENERGIES</t>
  </si>
  <si>
    <t>Seeteram, NA; Anderson, EP; Bhat, M; Grove, K; Sanders, BF; Schubert, JE; Hasan, F; Mach, KJ</t>
  </si>
  <si>
    <t>Living with water: Evolving adaptation preferences under increasing sea-level rise in Miami-Dade County, FL, USA</t>
  </si>
  <si>
    <t>Gewirtzman, J; Natson, S; Richards, JA; Hoffmeister, V; Durand, A; Weikmans, R; Huq, S; Roberts, JT</t>
  </si>
  <si>
    <t>Financing loss and damage: reviewing options under the Warsaw International Mechanism</t>
  </si>
  <si>
    <t>Sinha, P; Julius, S; Fry, M; Truesdale, R; Cajka, J; Eddy, M; Doraiswamy, P; Womack, D</t>
  </si>
  <si>
    <t>Assessing community vulnerability to extreme events in the presence of contaminated sites and waste management facilities: An indicator approach</t>
  </si>
  <si>
    <t>Berbés-Blázquez, M; Oestreicher, JS; Mertens, F; Saint-Charles, J</t>
  </si>
  <si>
    <t>Ecohealth and resilience thinking: a dialog from experiences in research and practice</t>
  </si>
  <si>
    <t>Özerol, G; Vinke-de Kruijf, J; Brisbois, MC; Flores, CC; Deekshit, P; Girard, C; Knieper, C; Mirnezami, SJ; Ortega-Reig, M; Ranjan, P; Schröder, NJS; Schröter, B</t>
  </si>
  <si>
    <t>Comparative studies of water governance: a systematic review</t>
  </si>
  <si>
    <t>Akamani, K</t>
  </si>
  <si>
    <t>The Roles of Adaptive Water Governance in Enhancing the Transition towards Ecosystem-Based Adaptation</t>
  </si>
  <si>
    <t>van Doorn-Hoekveld, WJ; Goytia, SB; Suykens, C; Homewood, S; Thuillier, T; Manson, C; Chmielewski, PJ; Matczak, P; van Rijswick, HFMW</t>
  </si>
  <si>
    <t>Distributional effects of flood risk management-a cross-country comparison of preflood compensation</t>
  </si>
  <si>
    <t>Kiss, B; Sekulova, F; Hörschelmann, K; Salk, CF; Takahashi, W; Wamsler, C</t>
  </si>
  <si>
    <t>Citizen participation in the governance of nature-based solutions</t>
  </si>
  <si>
    <t>Bowen, KJ; Miller, F; Dany, V; McMichael, AJ; Friel, S</t>
  </si>
  <si>
    <t>Enabling environments? Insights into the policy context for climate change and health adaptation decision-making in Cambodia</t>
  </si>
  <si>
    <t>Kalbarczyk, E; Kalbarczyk, R</t>
  </si>
  <si>
    <t>Credibility assessment of municipal climate change adaptation plans using the ex-ante method: A case study of Poland</t>
  </si>
  <si>
    <t>Novick, KA; Metzger, S; Anderegg, WRL; Barnes, M; Cala, DS; Guan, KY; Hemes, KS; Hollinger, DY; Kumar, J; Litvak, M; Lombardozzi, D; Normile, CP; Oikawa, P; Runkle, BRK; Torn, M; Wiesner, S</t>
  </si>
  <si>
    <t>Informing Nature-based Climate Solutions for the United States with the best-available science</t>
  </si>
  <si>
    <t>Browning, MHEM; Locke, DH; Konijnendijk, C; Labib, SM; Rigolon, A; Yeager, R; Bardhan, M; Berland, A; Dadvand, P; Helbich, M; Li, F; Li, H; James, P; Klompmaker, J; Reuben, A; Roman, LA; Tsai, WL; Patwary, M; O'Neil-Dunne, J; Ossola, A; Wang, R; Yang, B; Yi, L; Zhang, J; Nieuwenhuijsen, M</t>
  </si>
  <si>
    <t>Measuring the 3-30-300 rule to help cities meet nature access thresholds</t>
  </si>
  <si>
    <t>Hosseini, M; Javanroodi, K; Nik, VM</t>
  </si>
  <si>
    <t>High-resolution impact assessment of climate change on building energy performance considering extreme weather events and microclimate - Investigating variations in indoor thermal comfort and degree-days</t>
  </si>
  <si>
    <t>Ogola, PFA; Davidsdottir, B; Fridleifsson, IB</t>
  </si>
  <si>
    <t>Potential contribution of geothermal energy to climate change adaptation: A case study of the arid and semi-arid eastern Baringo lowlands, Kenya</t>
  </si>
  <si>
    <t>RENEWABLE &amp; SUSTAINABLE ENERGY REVIEWS</t>
  </si>
  <si>
    <t>Lam, S; Dodd, W; Berrang-Ford, L; Ford, J; Skinner, K; Papadopoulos, A; Harper, SL</t>
  </si>
  <si>
    <t>How are climate actions evaluated? A review of United Nations food security evaluations</t>
  </si>
  <si>
    <t>GLOBAL FOOD SECURITY-AGRICULTURE POLICY ECONOMICS AND ENVIRONMENT</t>
  </si>
  <si>
    <t>Viseh, H; Bristow, DN</t>
  </si>
  <si>
    <t>How climate change could affect different cities in Canada and what that means for the risks to the built-environment functions</t>
  </si>
  <si>
    <t>Sáenz-Romero, C; O'Neill, G; Aitken, SN; Lindig-Cisneros, R</t>
  </si>
  <si>
    <t>Assisted Migration Field Tests in Canada and Mexico: Lessons, Limitations, and Challenges</t>
  </si>
  <si>
    <t>Mehedi, IM; Hanif, MS; Bilal, M; Vellingiri, MT; Palaniswamy, T</t>
  </si>
  <si>
    <t>Remote Sensing and Decision Support System Applications in Precision Agriculture: Challenges and Possibilities</t>
  </si>
  <si>
    <t>IEEE ACCESS</t>
  </si>
  <si>
    <t>Sherman, MH; Ford, J</t>
  </si>
  <si>
    <t>Stakeholder engagement in adaptation interventions: an evaluation of projects in developing nations</t>
  </si>
  <si>
    <t>Singh, C; Ramesh, A; Hagenlocher, M; Shekhar, H; Siemons, ASS; Okunola, OH; Werners, SE</t>
  </si>
  <si>
    <t>Applying recent advances in climate adaptation research to urban heat risk management</t>
  </si>
  <si>
    <t>Morris, E; Cousins, JJ; Feldpausch-Parker, A</t>
  </si>
  <si>
    <t>Transformation and recognition: Planning just climate havens in New York State</t>
  </si>
  <si>
    <t>Sperling, J; Romero-Lankao, P; Beig, G</t>
  </si>
  <si>
    <t>Exploring citizen infrastructure and environmental priorities in Mumbai, India</t>
  </si>
  <si>
    <t>Pfister, S; de Jong, E</t>
  </si>
  <si>
    <t>Entangled with Mother Nature through Anthropogenic and Natural Disasters</t>
  </si>
  <si>
    <t>RELIGIONS</t>
  </si>
  <si>
    <t>Lim-Camacho, L; Hobday, AJ; Bustamante, RH; Farmery, A; Fleming, A; Frusher, S; Green, BS; Norman-López, A; Pecl, GT; Plaganyi, ÉE; Schrobback, P; Thebaud, O; Thomas, L; van Putten, I</t>
  </si>
  <si>
    <t>Facing the wave of change: stakeholder perspectives on climate adaptation for Australian seafood supply chains</t>
  </si>
  <si>
    <t>Gulsrud, NM; Hertzog, K; Shears, I</t>
  </si>
  <si>
    <t>Innovative urban forestry governance in Melbourne?: Investigating green placemaking as a nature-based solution</t>
  </si>
  <si>
    <t>ENVIRONMENTAL RESEARCH</t>
  </si>
  <si>
    <t>Ahmed, S; Eklund, E; Kiester, E</t>
  </si>
  <si>
    <t>Adaptation outcomes in climate-vulnerable locations: understanding how short-term climate actions exacerbated existing gender inequities in coastal Bangladesh</t>
  </si>
  <si>
    <t>Financing climate-related resettlements in uneven geographies of risk: Lessons from Bogota Humana</t>
  </si>
  <si>
    <t>Tamang, A; Macharia, MW; Caproni, L; Miculan, M; Mager, S; Ahmed, JS; Yangzome, T; Pe, ME; Dell'Acqua, M</t>
  </si>
  <si>
    <t>Genomic, climatic, and cultural diversity of maize landraces from the Himalayan Kingdom of Bhutan</t>
  </si>
  <si>
    <t>PLANTS PEOPLE PLANET</t>
  </si>
  <si>
    <t>Hess, JJ; Sheehan, TJ; Miller, A; Cunningham, R; Errett, NA; Isaksen, TB; Vogel, J; Ebi, KL</t>
  </si>
  <si>
    <t>A novel climate and health decision support platform: Approach, outputs, and policy considerations</t>
  </si>
  <si>
    <t>Pillay, K</t>
  </si>
  <si>
    <t>Key design considerations for flood risk pooling facilities at the sub-national level</t>
  </si>
  <si>
    <t>Wessels, N; Sitas, N; O'Farrell, P; Esler, KJ</t>
  </si>
  <si>
    <t>Assessing the outcomes of implementing natural open space plans in a Global South city</t>
  </si>
  <si>
    <t>Erwin, A; Ma, Z; Popovici, R; O'Brien, EPS; Zanotti, L; Zeballos, EZ; Bauchet, J; Calderón, NR; Larrea, GRA</t>
  </si>
  <si>
    <t>Intersectionality shapes adaptation to social-ecological change</t>
  </si>
  <si>
    <t>Raikes, J; Smith, TF; Baldwin, C; Henstra, D</t>
  </si>
  <si>
    <t>Linking disaster risk reduction and human development</t>
  </si>
  <si>
    <t>Leap, SR; Soled, DR; Sampath, V; Nadeau, KC</t>
  </si>
  <si>
    <t>Effects of extreme weather on health in underserved communities</t>
  </si>
  <si>
    <t>ANNALS OF ALLERGY ASTHMA &amp; IMMUNOLOGY</t>
  </si>
  <si>
    <t>Jacobs, BC; Lee, C; O'Toole, D; Vines, K</t>
  </si>
  <si>
    <t>Integrated regional vulnerability assessment of government services to climate change</t>
  </si>
  <si>
    <t>Esfandi, S; Rahmdel, L; Nourian, F; Sharifi, A</t>
  </si>
  <si>
    <t>The role of urban spatial structure in energy resilience: An integrated assessment framework using a hybrid factor analysis and analytic network process model</t>
  </si>
  <si>
    <t>Nguyen, TDL; Bleys, B</t>
  </si>
  <si>
    <t>Applying Analytic Hierarchy Process to Adaptation to Saltwater Intrusion in Vietnam</t>
  </si>
  <si>
    <t>Vegh, T; Bendor, TK; Monast, JJ</t>
  </si>
  <si>
    <t>Opportunities, tradeoffs, and caveats for private sector involvement in US floodplain buyout programs</t>
  </si>
  <si>
    <t>Beilin, R; Sysak, T; Hill, S</t>
  </si>
  <si>
    <t>Farmers and perverse outcomes: The quest for food and energy security, emissions reduction and climate adaptation</t>
  </si>
  <si>
    <t>Kohon, JN; Tanaka, K; Himes, D; Toda, E; Carder, PC; Carlson, B</t>
  </si>
  <si>
    <t>Extreme Heat Vulnerability Among Older Adults: A Multilevel Risk Index for Portland, Oregon</t>
  </si>
  <si>
    <t>GERONTOLOGIST</t>
  </si>
  <si>
    <t>Zhang, X; Guo, R; Shen, RN; Landis, JB; Jiang, Q; Liu, F; Wang, HC; Yao, XH</t>
  </si>
  <si>
    <t>The genomic and epigenetic footprint of local adaptation to variable climates in kiwifruit</t>
  </si>
  <si>
    <t>HORTICULTURE RESEARCH</t>
  </si>
  <si>
    <t>Carvalho, SB; Brito, JC; Crespo, EG; Watts, ME; Possingham, HP</t>
  </si>
  <si>
    <t>Conservation planning under climate change: Toward accounting for uncertainty in predicted species distributions to increase confidence in conservation investments in space and time</t>
  </si>
  <si>
    <t>Parsons, LA; Lo, F; Ward, A; Shindell, D; Raman, SR</t>
  </si>
  <si>
    <t>Higher Temperatures in Socially Vulnerable US Communities Increasingly Limit Safe Use of Electric Fans for Cooling</t>
  </si>
  <si>
    <t>GEOHEALTH</t>
  </si>
  <si>
    <t>Wiering, M; MacAfee, E; Saharan, T; Damm, M; Irvan, M; Priadi, CR; Kaufmann, M; Rakhmani, I; de Jong, E</t>
  </si>
  <si>
    <t>Recognising floods, recognising people? Flood risk management in riverfront urban kampongs of Indonesia</t>
  </si>
  <si>
    <t>Aung, YM; Khor, LY; Tran, N; Shikuku, KM; Zeller, M</t>
  </si>
  <si>
    <t>Technical efficiency of small-scale aquaculture in Myanmar: Does women's participation in decision-making matter?</t>
  </si>
  <si>
    <t>AQUACULTURE REPORTS</t>
  </si>
  <si>
    <t>Vahedifard, F; Azhar, M; Brown, DC</t>
  </si>
  <si>
    <t>Overrepresentation of Historically Underserved and Socially Vulnerable Communities Behind Levees in the United States</t>
  </si>
  <si>
    <t>Neder, EA; Moreira, FD; Dalla Fontana, M; Torres, RR; Lapola, DM; Vasconcellos, MDC; Bedran-Martins, AMB; Phillip, A; Lemos, MC; Di Giulio, GM</t>
  </si>
  <si>
    <t>Urban adaptation index: assessing cities readiness to deal with climate change</t>
  </si>
  <si>
    <t>Guerbois, C; Brady, U; de Swardt, AG; Fabricius, C</t>
  </si>
  <si>
    <t>Nurturing ecosystem-based adaptations in South Africa's Garden Route: a common pool resource governance perspective</t>
  </si>
  <si>
    <t>Yalamala, RS; Zurba, M; Bullock, R; Diduck, AP</t>
  </si>
  <si>
    <t>A review of large-scale renewable energy partnerships with Indigenous communities and organizations in Canada</t>
  </si>
  <si>
    <t>ENVIRONMENTAL REVIEWS</t>
  </si>
  <si>
    <t>Ulman, A; Lowrie, K; Bulger, G; Herb, J; Holmes, T; Butler, W</t>
  </si>
  <si>
    <t>Developing Engagement Principles for Climate and Health Research: An Example from a Community-Informed Research Project</t>
    <phoneticPr fontId="2" type="noConversion"/>
  </si>
  <si>
    <t>PROGRESS IN COMMUNITY HEALTH PARTNERSHIPS-RESEARCH EDUCATION AND ACTION</t>
  </si>
  <si>
    <t>Van Alphen, HJ; Strehl, C; Vollmer, F; Interwies, E; Petersen, A; Görlitz, S; Locatelli, L; Puentes, MM; Hidalga, MG; Giannakis, E; Spek, T; Scheibel, M; Kristvik, E; Rocha, F; Bergsma, E</t>
  </si>
  <si>
    <t>Selecting and analysing climate change adaptation measures at six research sites across Europe</t>
  </si>
  <si>
    <t>NATURAL HAZARDS AND EARTH SYSTEM SCIENCES</t>
  </si>
  <si>
    <t>Druta, O; Schilder, F; Lennartz, C</t>
  </si>
  <si>
    <t>Home improvements in later life: competing policy goals and the practices of older Dutch homeowners</t>
  </si>
  <si>
    <t>INTERNATIONAL JOURNAL OF HOUSING POLICY</t>
  </si>
  <si>
    <t>Standen, JC; Spencer, J; Lee, GW; Van Buskirk, J; Matthews, V; Hanigan, I; Boylan, S; Jegasothy, E; Breth-Petersen, M; Morgan, GG</t>
  </si>
  <si>
    <t>Aboriginal Population and Climate Change in Australia: Implications for Health and Adaptation Planning</t>
  </si>
  <si>
    <t>Eakin, H; Bojórquez-Tapia, LA; Miquelajauregui, Y; Grave, I; Aguilar, BH; Janssen, MA</t>
  </si>
  <si>
    <t>Using exploratory modeling to challenge narratives of risk governance in Mexico City</t>
  </si>
  <si>
    <t>Robinson, SA; Dornan, M</t>
  </si>
  <si>
    <t>International financing for climate change adaptation in small island developing states</t>
  </si>
  <si>
    <t>Boyd, AP; Luo, YG; Kustas, WP; Fukagawa, NK; Mattoo, AK; Crow, WT; Pachepsky, Y; Kim, MS; Lillehoj, HS; Van Tassell, CP; Zhang, HW; Blomberg, L; Dubey, JP; Lunney, JK</t>
  </si>
  <si>
    <t>Cross-cutting concepts to transform agricultural research</t>
  </si>
  <si>
    <t>Silao, ZH; Ocloo, XS; Chapman, M; Hunt, L; Stenger, K</t>
  </si>
  <si>
    <t>Trends in agroforestry research over 4 decades</t>
  </si>
  <si>
    <t>ELEMENTA-SCIENCE OF THE ANTHROPOCENE</t>
  </si>
  <si>
    <t>Sharifi, A</t>
  </si>
  <si>
    <t>Resilience of urban social-ecological-technological systems (SETS): A review</t>
  </si>
  <si>
    <t>Bharwani, S; Swartling, AG; André, K; Santos, TFS; Salamanca, A; Biskupska, N; Takama, T; Järnberg, L; Liu, A</t>
  </si>
  <si>
    <t>Co-designing in Tandem: Case study journeys to inspire and guide climate services</t>
  </si>
  <si>
    <t>Lam, Y; Winch, PJ; Nizame, FA; Broaddus-Shea, ET; Harun, MGD; Surkan, PJ</t>
  </si>
  <si>
    <t>Salinity and food security in southwest coastal Bangladesh: impacts on household food production and strategies for adaptation</t>
  </si>
  <si>
    <t>Campos, I; Guerra, J; Gomes, JF; Schmidt, L; Alves, F; Vizinho, A; Lopes, GP</t>
  </si>
  <si>
    <t>Understanding climate change policy and action in Portuguese municipalities: A survey</t>
  </si>
  <si>
    <t>Frank, A; Sperisen, C; Howe, GT; Brang, P; Walthert, L; St Clair, JB; Heiri, C</t>
  </si>
  <si>
    <t>Distinct genecological patterns in seedlings of Norway spruce and silver fir from a mountainous landscape</t>
  </si>
  <si>
    <t>ECOLOGY</t>
  </si>
  <si>
    <t>McGinlay, J; Jones, N; Clark, J; Maguire-Rajpaul, VA</t>
  </si>
  <si>
    <t>Retreating coastline, retreating government? Managing sea level rise in an age of austerity</t>
  </si>
  <si>
    <t>Gwal, S; Gupta, S; Sena, DR; Singh, S</t>
  </si>
  <si>
    <t>Geospatial modeling of hydrological ecosystem services in an ungauged upper Yamuna catchment using SWAT</t>
  </si>
  <si>
    <t>ECOLOGICAL INFORMATICS</t>
  </si>
  <si>
    <t>Van Daele, F; Honnay, O; De Kort, H</t>
  </si>
  <si>
    <t>Genomic analyses point to a low evolutionary potential of prospective source populations for assisted migration in a forest herb</t>
  </si>
  <si>
    <t>EVOLUTIONARY APPLICATIONS</t>
  </si>
  <si>
    <t>Hyun, JH; Kim, JY; Park, CY; Lee, DK</t>
  </si>
  <si>
    <t>Modeling decision-maker preferences for long-term climate adaptation planning using a pathways approach</t>
  </si>
  <si>
    <t>Muccione, V; Rodriguez, JA; Scolobig, A; Witton, R; Zwahlen, J; Mackey, A; Barrott, J; Simonett, O; Stoffel, M; Allen, SK</t>
  </si>
  <si>
    <t>Trends in climate adaptation solutions for mountain regions</t>
  </si>
  <si>
    <t>Dunston, HK</t>
  </si>
  <si>
    <t>Wake up all the builders: Fatigue and utopia in Washington Heights</t>
  </si>
  <si>
    <t>FUTURES</t>
  </si>
  <si>
    <t>Bennett, NJ</t>
  </si>
  <si>
    <t>Navigating a just and inclusive path towards sustainable oceans</t>
  </si>
  <si>
    <t>Creighton, C; Hobday, AJ; Lockwood, M; Pecl, GT</t>
  </si>
  <si>
    <t>Adapting Management of Marine Environments to a Changing Climate: A Checklist to Guide Reform and Assess Progress</t>
  </si>
  <si>
    <t>ECOSYSTEMS</t>
  </si>
  <si>
    <t>Silver, JM; Arkema, KK; Griffin, RM; Lashley, B; Lemay, M; Maldonado, S; Moultrie, SH; Ruckelshaus, M; Schill, S; Thomas, A; Wyatt, K; Verutes, G</t>
  </si>
  <si>
    <t>Advancing Coastal Risk Reduction Science and Implementation by Accounting for Climate, Ecosystems, and People</t>
  </si>
  <si>
    <t>Segnon, AC; Zougmore, RB; Green, R; Ali, Z; Carr, TW; Houessionon, P; M'boob, S; Scheelbeek, PFD</t>
  </si>
  <si>
    <t>Climate change adaptation options to inform planning of agriculture and food systems in The Gambia: A systematic approach for stocktaking</t>
  </si>
  <si>
    <t>Zanon, B; Verones, S</t>
  </si>
  <si>
    <t>Climate change, urban energy and planning practices: Italian experiences of innovation in land management tools</t>
  </si>
  <si>
    <t>Hossin, MA; Abudu, H; Sai, R; Agyeman, SD; Wesseh, PK Jr</t>
  </si>
  <si>
    <t>Examining sustainable development goals: are developing countries advancing in sustainable energy and environmental sustainability?</t>
  </si>
  <si>
    <t>ENVIRONMENTAL SCIENCE AND POLLUTION RESEARCH</t>
  </si>
  <si>
    <t>Wamsler, C; Brossmann, J; Hendersson, H; Kristjansdottir, R; McDonald, C; Scarampi, P</t>
  </si>
  <si>
    <t>Mindfulness in sustainability science, practice, and teaching</t>
  </si>
  <si>
    <t>Hegga, S; Kunamwene, I; Ziervogel, G</t>
  </si>
  <si>
    <t>Local participation in decentralized water governance: insights from north-central Namibia</t>
  </si>
  <si>
    <t>Zoll, D; Bixler, RP; Lieberknecht, K; Belaire, JA; Shariatmadari, A; Jha, S</t>
  </si>
  <si>
    <t>Intersectional climate perceptions: Understanding the impacts of race and gender on climate experiences, future concerns, and planning efforts</t>
  </si>
  <si>
    <t>Burda, IM; Nyka, L</t>
  </si>
  <si>
    <t>Innovative Urban Blue Space Design in a Changing Climate: Transition Models in the Baltic Sea Region</t>
  </si>
  <si>
    <t>Donatti, CI; Nicholas, K; Fedele, G; Delforge, D; Speybroeck, N; Moraga, P; Blatter, J; Below, R; Zvoleff, A</t>
  </si>
  <si>
    <t>Global hotspots of climate-related disasters</t>
  </si>
  <si>
    <t>Shah, SH; Harris, LM</t>
  </si>
  <si>
    <t>Beyond Local Case Studies in Political Ecology: Spatializing Agricultural Water Infrastructure in Maharashtra Using a Critical, Multimethods, and Multiscalar Approach</t>
  </si>
  <si>
    <t>Smart, LS; Taillie, PJ; Poulter, B; Vukomanovic, J; Singh, KK; Swenson, JJ; Mitasova, H; Smith, JW; Meentemeyer, RK</t>
  </si>
  <si>
    <t>Aboveground carbon loss associated with the spread of ghost forests as sea levels rise</t>
  </si>
  <si>
    <t>Jabakhanji, SB; Arnold, SR; Aunan, K; Chersich, MF; Jakobsson, K; McGushin, A; Kelly, I; Roche, N; Stauffer, A; Stanistreet, D</t>
  </si>
  <si>
    <t>Public Health Measures to Address the Impact of Climate Change on Population Health-Proceedings from a Stakeholder Workshop</t>
  </si>
  <si>
    <t>Becvarik, ZA; White, L; Lal, A</t>
  </si>
  <si>
    <t>The health and wellbeing co-benefits of policies and programs to address climate change in urban areas: a scoping review</t>
  </si>
  <si>
    <t>Hanjra, MA; Blackwell, J; Carr, G; Zhang, FH; Jackson, TM</t>
  </si>
  <si>
    <t>Wastewater irrigation and environmental health: Implications for water governance and public policy</t>
  </si>
  <si>
    <t>INTERNATIONAL JOURNAL OF HYGIENE AND ENVIRONMENTAL HEALTH</t>
  </si>
  <si>
    <t>Khan, NA; Choudhury, JK; Rashid, AZMM; Siddique, MRH; Sinha, K</t>
  </si>
  <si>
    <t>Co-Management Practices by Non-Government Organizations (NGOs) in Selected Coastal Forest Zones of Bangladesh: A Focus on Sustainability</t>
  </si>
  <si>
    <t>Sova, C; Vervoort, J; Thornton, T; Helfgott, A; Matthews, D; Chaudhury, A</t>
  </si>
  <si>
    <t>Exploring farmer preference shaping in international agricultural climate change adaptation regimes</t>
  </si>
  <si>
    <t>Ebrahimi, A; Lawson, SS; McKenna, JR; Jacobs, DF</t>
  </si>
  <si>
    <t>Morpho-Physiological and Genomic Evaluation of Juglans Species Reveals Regional Maladaptation to Cold Stress</t>
  </si>
  <si>
    <t>FRONTIERS IN PLANT SCIENCE</t>
  </si>
  <si>
    <t>Zazula, N; Birchall, SJ</t>
  </si>
  <si>
    <t>Urban resilience through ecosystem services in Edmonton, Canada: an assessment of gaps and recommendations</t>
    <phoneticPr fontId="2" type="noConversion"/>
  </si>
  <si>
    <t>URBAN ECOSYSTEMS</t>
  </si>
  <si>
    <t>Bisaro, A</t>
    <phoneticPr fontId="2" type="noConversion"/>
  </si>
  <si>
    <t>Coastal adaptation through urban land reclamation: Exploring the distributional effects</t>
  </si>
  <si>
    <t>Journal of the Geographical Society of Berlin</t>
    <phoneticPr fontId="2" type="noConversion"/>
  </si>
  <si>
    <t>Klein, JA; Tucker, CM; Steger, CE; Nolin, A; Reid, R; Hopping, KA; Yeh, ET; Pradhan, MS; Taber, A; Molden, D; Ghate, R; Choudhury, D; Alcántara-Ayala, I; Lavorel, S; Müller, B; Grêt-Regamey, A; Boone, RB; Bourgeron, P; Castellanos, E; Chen, XD; Dong, SK; Keiler, M; Seidl, R; Thorn, J; Yager, K</t>
  </si>
  <si>
    <t>An integrated community and ecosystem-based approach to disaster risk reduction in mountain systems</t>
  </si>
  <si>
    <t>Friel, S; Berry, H; Dinh, H; O'Brien, L; Walls, HL</t>
  </si>
  <si>
    <t>The impact of drought on the association between food security and mental health in a nationally representative Australian sample</t>
  </si>
  <si>
    <t>BMC PUBLIC HEALTH</t>
  </si>
  <si>
    <t>Fletcher, CS; Rambaldi, AN; Lipkin, F; McAllister, RRJ</t>
  </si>
  <si>
    <t>Economic, equitable, and affordable adaptations to protect coastal settlements against storm surge inundation</t>
  </si>
  <si>
    <t>Shi, LD; Fisher, A; Brenner, RM; Greiner-Safi, A; Shepard, C; Vanucchi, J</t>
  </si>
  <si>
    <t>Equitable buyouts? Learning from state, county, and local floodplain management programs</t>
  </si>
  <si>
    <t>Silva, MF; Leao, ALF; O'Connor, A; Hallal, PC; Ding, D; Hinckson, E; Benmarhnia, T; Reis, RS</t>
  </si>
  <si>
    <t>Understanding the Relationships Between Physical Activity and Climate Change: An Umbrella Review</t>
  </si>
  <si>
    <t>JOURNAL OF PHYSICAL ACTIVITY &amp; HEALTH</t>
  </si>
  <si>
    <t>Janarthanan, BS</t>
  </si>
  <si>
    <t>Saving farm subsidies with smart climate interventions: the case of transition to a millet-based agriculture</t>
  </si>
  <si>
    <t>CHINA AGRICULTURAL ECONOMIC REVIEW</t>
  </si>
  <si>
    <t>Leites, LP; Rehfeldt, GE; Steiner, KC</t>
  </si>
  <si>
    <t>Adaptation to climate in five eastern North America broadleaf deciduous species: Growth clines and evidence of the growth-cold tolerance trade-off</t>
  </si>
  <si>
    <t>Liu, DD; Guo, SL; Shao, QX; Liu, P; Xiong, LH; Wang, L; Hong, XJ; Xu, Y; Wang, ZL</t>
  </si>
  <si>
    <t>Assessing the effects of adaptation measures on optimal water resources allocation under varied water availability conditions</t>
  </si>
  <si>
    <t>JOURNAL OF HYDROLOGY</t>
  </si>
  <si>
    <t>Palliwoda, J; Haase, A; Suppee, C; Rink, D; Priess, JA</t>
  </si>
  <si>
    <t>Visions for development and management of urban green and blue infrastructure: a citizen's perspective</t>
  </si>
  <si>
    <t>Ortiz-Partida, JP; Fernandez-Bou, AS; Maskey, M; Rodríguez-Flores, JM; Medellín-Azuara, J; Sandoval-Solis, S; Ermolieva, T; Kanavas, Z; Sahu, RK; Wada, Y; Kahil, T</t>
  </si>
  <si>
    <t>Hydro-Economic Modeling of Water Resources Management Challenges: Current Applications and Future Directions</t>
  </si>
  <si>
    <t>WATER ECONOMICS AND POLICY</t>
  </si>
  <si>
    <t>McGonigle, DF; Nodari, GR; Phillips, RL; Aynekulu, E; Estrada-Carmona, N; Jones, SK; Koziell, I; Luedeling, E; Remans, R; Shepherd, K; Wiberg, D; Whitney, C; Zhang, W</t>
  </si>
  <si>
    <t>A Knowledge Brokering Framework for Integrated Landscape Management</t>
  </si>
  <si>
    <t>Heidelberger, E; Rakha, T</t>
  </si>
  <si>
    <t>Inclusive urban building energy modeling through socioeconomic data: A persona-based case study for an underrepresented community</t>
  </si>
  <si>
    <t>McNamara, DE; Murray, AB; Smith, MD</t>
  </si>
  <si>
    <t>Coastal sustainability depends on how economic and coastline responses to climate change affect each other</t>
  </si>
  <si>
    <t>GEOPHYSICAL RESEARCH LETTERS</t>
  </si>
  <si>
    <t>Pradilla, G; Hack, J</t>
  </si>
  <si>
    <t>An urban rivers renaissance? Stream restoration and green-blue infrastructure in Latin America - Insights from urban planning in Colombia</t>
  </si>
  <si>
    <t>Xie, Y; Li, HM; Liu, JS; Han, LF; Zhang, XX; Zhou, XN; Guo, XK; Xiu, LS; Yin, H; Yin, K</t>
  </si>
  <si>
    <t>The climate change impacts and responses index: quantifying disparities and guiding policies for collective resilience</t>
  </si>
  <si>
    <t>INTERNATIONAL JOURNAL OF SUSTAINABLE DEVELOPMENT AND WORLD ECOLOGY</t>
  </si>
  <si>
    <t>Lanza, K; Alcazar, M; Hoelscher, DM; Kohl, HW</t>
  </si>
  <si>
    <t>Effects of trees, gardens, and nature trails on heat index and child health: design and methods of the Green Schoolyards Project</t>
  </si>
  <si>
    <t>Batker, D; Soares, J; Sun, YH; Batker-Pritzker, A; Guo, RBC</t>
  </si>
  <si>
    <t>Headwater Valuation as a Tool for Economic Development, Healthy Forest Management, and Water Resilience</t>
  </si>
  <si>
    <t>Schubert, JE; Mach, KJ; Sanders, BF</t>
  </si>
  <si>
    <t>National-Scale Flood Hazard Data Unfit for Urban Risk Management</t>
  </si>
  <si>
    <t>Zwane, N; Botai, JO; Botai, CM; Mabhaudhi, T</t>
  </si>
  <si>
    <t>Sustainability of the Linkages Between Water-Energy-Food Resources Based on Structural Equation Modeling Under Changing Climate: A Case Study of Narok County (Kenya) and Vhembe District Municipality (South Africa)</t>
  </si>
  <si>
    <t>Homet, K; Kremer, P; Smith, V; Strader, S</t>
  </si>
  <si>
    <t>Multi-variable assessment of green stormwater infrastructure planning across a city landscape: Incorporating social, environmental, built-environment, and maintenance vulnerabilities</t>
  </si>
  <si>
    <t>Marginean, I; Cuaresma, JC; Hoffmann, R; Muttarak, R; Gao, J; Daloz, AS</t>
  </si>
  <si>
    <t>High-Resolution Modeling and Projecting Local Dynamics of Differential Vulnerability to Urban Heat Stress</t>
  </si>
  <si>
    <t>O'Neill, BF; Williams, J</t>
  </si>
  <si>
    <t>Progress in understanding the social dimensions of desalination and future research directions</t>
  </si>
  <si>
    <t>Zeren, GB; Tan, J; Zhang, Q; Qiuying, B</t>
  </si>
  <si>
    <t>Rebuilding rural community cooperative institutions and their role in herder adaptation to climate change</t>
  </si>
  <si>
    <t>Ziervogel, G; Enqvist, J; Metelerkamp, L; van Breda, J</t>
  </si>
  <si>
    <t>Supporting transformative climate adaptation: community-level capacity building and knowledge co-creation in South Africa</t>
  </si>
  <si>
    <t>No.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</si>
</sst>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/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/>
    <xf numFmtId="0" fontId="5" fillId="0" borderId="1" xfId="1" applyFont="1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3AB1-BAEB-428B-852B-AB9238B3BDB1}">
  <dimension ref="A1:E783"/>
  <sheetViews>
    <sheetView tabSelected="1" workbookViewId="0">
      <selection activeCell="G2" sqref="G2"/>
    </sheetView>
  </sheetViews>
  <sheetFormatPr defaultRowHeight="16.5" x14ac:dyDescent="0.3"/>
  <cols>
    <col min="1" max="1" width="4.75" bestFit="1" customWidth="1"/>
    <col min="2" max="2" width="30" customWidth="1"/>
    <col min="3" max="3" width="44.625" customWidth="1"/>
    <col min="4" max="4" width="46.125" customWidth="1"/>
    <col min="5" max="5" width="50.125" customWidth="1"/>
  </cols>
  <sheetData>
    <row r="1" spans="1:5" x14ac:dyDescent="0.3">
      <c r="A1" s="1" t="s">
        <v>1825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>
        <v>1</v>
      </c>
      <c r="B2" s="4" t="s">
        <v>4</v>
      </c>
      <c r="C2" s="4" t="s">
        <v>5</v>
      </c>
      <c r="D2" s="4" t="s">
        <v>6</v>
      </c>
      <c r="E2" s="4" t="str">
        <f>HYPERLINK("http://dx.doi.org/10.1007/s40641-024-00195-7","http://dx.doi.org/10.1007/s40641-024-00195-7")</f>
        <v>http://dx.doi.org/10.1007/s40641-024-00195-7</v>
      </c>
    </row>
    <row r="3" spans="1:5" x14ac:dyDescent="0.3">
      <c r="A3" s="3">
        <v>2</v>
      </c>
      <c r="B3" s="4" t="s">
        <v>7</v>
      </c>
      <c r="C3" s="4" t="s">
        <v>8</v>
      </c>
      <c r="D3" s="4" t="s">
        <v>9</v>
      </c>
      <c r="E3" s="4" t="str">
        <f>HYPERLINK("http://dx.doi.org/10.1016/j.gloenvcha.2009.10.006","http://dx.doi.org/10.1016/j.gloenvcha.2009.10.006")</f>
        <v>http://dx.doi.org/10.1016/j.gloenvcha.2009.10.006</v>
      </c>
    </row>
    <row r="4" spans="1:5" x14ac:dyDescent="0.3">
      <c r="A4" s="3">
        <v>3</v>
      </c>
      <c r="B4" s="4" t="s">
        <v>10</v>
      </c>
      <c r="C4" s="4" t="s">
        <v>11</v>
      </c>
      <c r="D4" s="4" t="s">
        <v>12</v>
      </c>
      <c r="E4" s="4" t="str">
        <f>HYPERLINK("http://dx.doi.org/10.1038/s41558-023-01690-9","http://dx.doi.org/10.1038/s41558-023-01690-9")</f>
        <v>http://dx.doi.org/10.1038/s41558-023-01690-9</v>
      </c>
    </row>
    <row r="5" spans="1:5" x14ac:dyDescent="0.3">
      <c r="A5" s="3">
        <v>4</v>
      </c>
      <c r="B5" s="4" t="s">
        <v>13</v>
      </c>
      <c r="C5" s="4" t="s">
        <v>14</v>
      </c>
      <c r="D5" s="4" t="s">
        <v>15</v>
      </c>
      <c r="E5" s="4" t="str">
        <f>HYPERLINK("http://dx.doi.org/10.1080/13549839.2024.2386964","http://dx.doi.org/10.1080/13549839.2024.2386964")</f>
        <v>http://dx.doi.org/10.1080/13549839.2024.2386964</v>
      </c>
    </row>
    <row r="6" spans="1:5" x14ac:dyDescent="0.3">
      <c r="A6" s="3">
        <v>5</v>
      </c>
      <c r="B6" s="4" t="s">
        <v>16</v>
      </c>
      <c r="C6" s="4" t="s">
        <v>17</v>
      </c>
      <c r="D6" s="4" t="s">
        <v>15</v>
      </c>
      <c r="E6" s="4" t="str">
        <f>HYPERLINK("http://dx.doi.org/10.1080/13549839.2024.2368532","http://dx.doi.org/10.1080/13549839.2024.2368532")</f>
        <v>http://dx.doi.org/10.1080/13549839.2024.2368532</v>
      </c>
    </row>
    <row r="7" spans="1:5" x14ac:dyDescent="0.3">
      <c r="A7" s="3">
        <v>6</v>
      </c>
      <c r="B7" s="4" t="s">
        <v>18</v>
      </c>
      <c r="C7" s="4" t="s">
        <v>19</v>
      </c>
      <c r="D7" s="4" t="s">
        <v>20</v>
      </c>
      <c r="E7" s="4" t="str">
        <f>HYPERLINK("http://dx.doi.org/10.1088/1748-9326/ac0663","http://dx.doi.org/10.1088/1748-9326/ac0663")</f>
        <v>http://dx.doi.org/10.1088/1748-9326/ac0663</v>
      </c>
    </row>
    <row r="8" spans="1:5" x14ac:dyDescent="0.3">
      <c r="A8" s="3">
        <v>7</v>
      </c>
      <c r="B8" s="4" t="s">
        <v>21</v>
      </c>
      <c r="C8" s="4" t="s">
        <v>22</v>
      </c>
      <c r="D8" s="4" t="s">
        <v>23</v>
      </c>
      <c r="E8" s="4" t="str">
        <f>HYPERLINK("http://dx.doi.org/10.1016/j.uclim.2021.100951","http://dx.doi.org/10.1016/j.uclim.2021.100951")</f>
        <v>http://dx.doi.org/10.1016/j.uclim.2021.100951</v>
      </c>
    </row>
    <row r="9" spans="1:5" x14ac:dyDescent="0.3">
      <c r="A9" s="3">
        <v>8</v>
      </c>
      <c r="B9" s="4" t="s">
        <v>24</v>
      </c>
      <c r="C9" s="4" t="s">
        <v>25</v>
      </c>
      <c r="D9" s="4" t="s">
        <v>26</v>
      </c>
      <c r="E9" s="4" t="str">
        <f>HYPERLINK("http://dx.doi.org/10.1016/j.ecolecon.2021.107321","http://dx.doi.org/10.1016/j.ecolecon.2021.107321")</f>
        <v>http://dx.doi.org/10.1016/j.ecolecon.2021.107321</v>
      </c>
    </row>
    <row r="10" spans="1:5" x14ac:dyDescent="0.3">
      <c r="A10" s="3">
        <v>9</v>
      </c>
      <c r="B10" s="4" t="s">
        <v>27</v>
      </c>
      <c r="C10" s="4" t="s">
        <v>28</v>
      </c>
      <c r="D10" s="4" t="s">
        <v>29</v>
      </c>
      <c r="E10" s="4" t="str">
        <f>HYPERLINK("http://dx.doi.org/10.1016/j.envsci.2024.103951","http://dx.doi.org/10.1016/j.envsci.2024.103951")</f>
        <v>http://dx.doi.org/10.1016/j.envsci.2024.103951</v>
      </c>
    </row>
    <row r="11" spans="1:5" x14ac:dyDescent="0.3">
      <c r="A11" s="3">
        <v>10</v>
      </c>
      <c r="B11" s="4" t="s">
        <v>30</v>
      </c>
      <c r="C11" s="4" t="s">
        <v>31</v>
      </c>
      <c r="D11" s="4" t="s">
        <v>29</v>
      </c>
      <c r="E11" s="4" t="str">
        <f>HYPERLINK("http://dx.doi.org/10.1016/j.envsci.2022.07.024","http://dx.doi.org/10.1016/j.envsci.2022.07.024")</f>
        <v>http://dx.doi.org/10.1016/j.envsci.2022.07.024</v>
      </c>
    </row>
    <row r="12" spans="1:5" x14ac:dyDescent="0.3">
      <c r="A12" s="3">
        <v>11</v>
      </c>
      <c r="B12" s="4" t="s">
        <v>32</v>
      </c>
      <c r="C12" s="4" t="s">
        <v>33</v>
      </c>
      <c r="D12" s="4" t="s">
        <v>34</v>
      </c>
      <c r="E12" s="4" t="str">
        <f>HYPERLINK("http://dx.doi.org/10.1016/j.landurbplan.2024.105081","http://dx.doi.org/10.1016/j.landurbplan.2024.105081")</f>
        <v>http://dx.doi.org/10.1016/j.landurbplan.2024.105081</v>
      </c>
    </row>
    <row r="13" spans="1:5" x14ac:dyDescent="0.3">
      <c r="A13" s="3">
        <v>12</v>
      </c>
      <c r="B13" s="4" t="s">
        <v>35</v>
      </c>
      <c r="C13" s="4" t="s">
        <v>36</v>
      </c>
      <c r="D13" s="4" t="s">
        <v>37</v>
      </c>
      <c r="E13" s="4" t="str">
        <f>HYPERLINK("http://dx.doi.org/10.1080/00963402.2016.1240480","http://dx.doi.org/10.1080/00963402.2016.1240480")</f>
        <v>http://dx.doi.org/10.1080/00963402.2016.1240480</v>
      </c>
    </row>
    <row r="14" spans="1:5" x14ac:dyDescent="0.3">
      <c r="A14" s="3">
        <v>13</v>
      </c>
      <c r="B14" s="4" t="s">
        <v>38</v>
      </c>
      <c r="C14" s="4" t="s">
        <v>39</v>
      </c>
      <c r="D14" s="4" t="s">
        <v>40</v>
      </c>
      <c r="E14" s="4" t="str">
        <f>HYPERLINK("http://dx.doi.org/10.3390/su131910553","http://dx.doi.org/10.3390/su131910553")</f>
        <v>http://dx.doi.org/10.3390/su131910553</v>
      </c>
    </row>
    <row r="15" spans="1:5" x14ac:dyDescent="0.3">
      <c r="A15" s="3">
        <v>14</v>
      </c>
      <c r="B15" s="4" t="s">
        <v>41</v>
      </c>
      <c r="C15" s="4" t="s">
        <v>42</v>
      </c>
      <c r="D15" s="4" t="s">
        <v>43</v>
      </c>
      <c r="E15" s="4" t="str">
        <f>HYPERLINK("http://dx.doi.org/10.1016/j.copsyc.2021.03.001","http://dx.doi.org/10.1016/j.copsyc.2021.03.001")</f>
        <v>http://dx.doi.org/10.1016/j.copsyc.2021.03.001</v>
      </c>
    </row>
    <row r="16" spans="1:5" x14ac:dyDescent="0.3">
      <c r="A16" s="3">
        <v>15</v>
      </c>
      <c r="B16" s="4" t="s">
        <v>44</v>
      </c>
      <c r="C16" s="4" t="s">
        <v>45</v>
      </c>
      <c r="D16" s="4" t="s">
        <v>46</v>
      </c>
      <c r="E16" s="4" t="str">
        <f>HYPERLINK("http://dx.doi.org/10.1007/s10584-019-02563-x","http://dx.doi.org/10.1007/s10584-019-02563-x")</f>
        <v>http://dx.doi.org/10.1007/s10584-019-02563-x</v>
      </c>
    </row>
    <row r="17" spans="1:5" x14ac:dyDescent="0.3">
      <c r="A17" s="3">
        <v>16</v>
      </c>
      <c r="B17" s="4" t="s">
        <v>47</v>
      </c>
      <c r="C17" s="4" t="s">
        <v>48</v>
      </c>
      <c r="D17" s="4" t="s">
        <v>29</v>
      </c>
      <c r="E17" s="4" t="str">
        <f>HYPERLINK("http://dx.doi.org/10.1016/j.envsci.2020.05.007","http://dx.doi.org/10.1016/j.envsci.2020.05.007")</f>
        <v>http://dx.doi.org/10.1016/j.envsci.2020.05.007</v>
      </c>
    </row>
    <row r="18" spans="1:5" x14ac:dyDescent="0.3">
      <c r="A18" s="3">
        <v>17</v>
      </c>
      <c r="B18" s="4" t="s">
        <v>49</v>
      </c>
      <c r="C18" s="4" t="s">
        <v>50</v>
      </c>
      <c r="D18" s="4" t="s">
        <v>46</v>
      </c>
      <c r="E18" s="4" t="str">
        <f>HYPERLINK("http://dx.doi.org/10.1007/s10584-021-03266-y","http://dx.doi.org/10.1007/s10584-021-03266-y")</f>
        <v>http://dx.doi.org/10.1007/s10584-021-03266-y</v>
      </c>
    </row>
    <row r="19" spans="1:5" x14ac:dyDescent="0.3">
      <c r="A19" s="3">
        <v>18</v>
      </c>
      <c r="B19" s="4" t="s">
        <v>51</v>
      </c>
      <c r="C19" s="4" t="s">
        <v>52</v>
      </c>
      <c r="D19" s="4" t="s">
        <v>53</v>
      </c>
      <c r="E19" s="4" t="str">
        <f>HYPERLINK("http://dx.doi.org/10.1177/0739456X241274579","http://dx.doi.org/10.1177/0739456X241274579")</f>
        <v>http://dx.doi.org/10.1177/0739456X241274579</v>
      </c>
    </row>
    <row r="20" spans="1:5" x14ac:dyDescent="0.3">
      <c r="A20" s="3">
        <v>19</v>
      </c>
      <c r="B20" s="4" t="s">
        <v>54</v>
      </c>
      <c r="C20" s="4" t="s">
        <v>55</v>
      </c>
      <c r="D20" s="4" t="s">
        <v>56</v>
      </c>
      <c r="E20" s="4" t="str">
        <f>HYPERLINK("http://dx.doi.org/10.1080/07352166.2022.2091449","http://dx.doi.org/10.1080/07352166.2022.2091449")</f>
        <v>http://dx.doi.org/10.1080/07352166.2022.2091449</v>
      </c>
    </row>
    <row r="21" spans="1:5" x14ac:dyDescent="0.3">
      <c r="A21" s="3">
        <v>20</v>
      </c>
      <c r="B21" s="4" t="s">
        <v>57</v>
      </c>
      <c r="C21" s="4" t="s">
        <v>58</v>
      </c>
      <c r="D21" s="4" t="s">
        <v>40</v>
      </c>
      <c r="E21" s="4" t="str">
        <f>HYPERLINK("http://dx.doi.org/10.3390/su13031201","http://dx.doi.org/10.3390/su13031201")</f>
        <v>http://dx.doi.org/10.3390/su13031201</v>
      </c>
    </row>
    <row r="22" spans="1:5" x14ac:dyDescent="0.3">
      <c r="A22" s="3">
        <v>21</v>
      </c>
      <c r="B22" s="4" t="s">
        <v>59</v>
      </c>
      <c r="C22" s="4" t="s">
        <v>60</v>
      </c>
      <c r="D22" s="4" t="s">
        <v>61</v>
      </c>
      <c r="E22" s="4" t="str">
        <f>HYPERLINK("http://dx.doi.org/10.1080/17565529.2020.1824888","http://dx.doi.org/10.1080/17565529.2020.1824888")</f>
        <v>http://dx.doi.org/10.1080/17565529.2020.1824888</v>
      </c>
    </row>
    <row r="23" spans="1:5" x14ac:dyDescent="0.3">
      <c r="A23" s="3">
        <v>22</v>
      </c>
      <c r="B23" s="4" t="s">
        <v>62</v>
      </c>
      <c r="C23" s="4" t="s">
        <v>63</v>
      </c>
      <c r="D23" s="4" t="s">
        <v>64</v>
      </c>
      <c r="E23" s="4" t="str">
        <f>HYPERLINK("http://dx.doi.org/10.1080/14693062.2021.1871875","http://dx.doi.org/10.1080/14693062.2021.1871875")</f>
        <v>http://dx.doi.org/10.1080/14693062.2021.1871875</v>
      </c>
    </row>
    <row r="24" spans="1:5" x14ac:dyDescent="0.3">
      <c r="A24" s="3">
        <v>23</v>
      </c>
      <c r="B24" s="4" t="s">
        <v>65</v>
      </c>
      <c r="C24" s="4" t="s">
        <v>66</v>
      </c>
      <c r="D24" s="4" t="s">
        <v>67</v>
      </c>
      <c r="E24" s="4" t="str">
        <f>HYPERLINK("http://dx.doi.org/10.1016/j.worlddev.2024.106678","http://dx.doi.org/10.1016/j.worlddev.2024.106678")</f>
        <v>http://dx.doi.org/10.1016/j.worlddev.2024.106678</v>
      </c>
    </row>
    <row r="25" spans="1:5" x14ac:dyDescent="0.3">
      <c r="A25" s="3">
        <v>24</v>
      </c>
      <c r="B25" s="4" t="s">
        <v>68</v>
      </c>
      <c r="C25" s="4" t="s">
        <v>69</v>
      </c>
      <c r="D25" s="4" t="s">
        <v>70</v>
      </c>
      <c r="E25" s="4" t="str">
        <f>HYPERLINK("http://dx.doi.org/10.1177/1070496519877483","http://dx.doi.org/10.1177/1070496519877483")</f>
        <v>http://dx.doi.org/10.1177/1070496519877483</v>
      </c>
    </row>
    <row r="26" spans="1:5" x14ac:dyDescent="0.3">
      <c r="A26" s="3">
        <v>25</v>
      </c>
      <c r="B26" s="4" t="s">
        <v>71</v>
      </c>
      <c r="C26" s="4" t="s">
        <v>72</v>
      </c>
      <c r="D26" s="4" t="s">
        <v>40</v>
      </c>
      <c r="E26" s="4" t="str">
        <f>HYPERLINK("http://dx.doi.org/10.3390/su13169428","http://dx.doi.org/10.3390/su13169428")</f>
        <v>http://dx.doi.org/10.3390/su13169428</v>
      </c>
    </row>
    <row r="27" spans="1:5" x14ac:dyDescent="0.3">
      <c r="A27" s="3">
        <v>26</v>
      </c>
      <c r="B27" s="4" t="s">
        <v>73</v>
      </c>
      <c r="C27" s="4" t="s">
        <v>74</v>
      </c>
      <c r="D27" s="4" t="s">
        <v>40</v>
      </c>
      <c r="E27" s="4" t="str">
        <f>HYPERLINK("http://dx.doi.org/10.3390/su12187691","http://dx.doi.org/10.3390/su12187691")</f>
        <v>http://dx.doi.org/10.3390/su12187691</v>
      </c>
    </row>
    <row r="28" spans="1:5" x14ac:dyDescent="0.3">
      <c r="A28" s="3">
        <v>27</v>
      </c>
      <c r="B28" s="4" t="s">
        <v>75</v>
      </c>
      <c r="C28" s="4" t="s">
        <v>76</v>
      </c>
      <c r="D28" s="4" t="s">
        <v>77</v>
      </c>
      <c r="E28" s="4" t="str">
        <f>HYPERLINK("http://dx.doi.org/10.1016/j.cities.2021.103235","http://dx.doi.org/10.1016/j.cities.2021.103235")</f>
        <v>http://dx.doi.org/10.1016/j.cities.2021.103235</v>
      </c>
    </row>
    <row r="29" spans="1:5" x14ac:dyDescent="0.3">
      <c r="A29" s="3">
        <v>28</v>
      </c>
      <c r="B29" s="4" t="s">
        <v>78</v>
      </c>
      <c r="C29" s="4" t="s">
        <v>79</v>
      </c>
      <c r="D29" s="4" t="s">
        <v>15</v>
      </c>
      <c r="E29" s="4" t="str">
        <f>HYPERLINK("http://dx.doi.org/10.1080/13549839.2019.1656180","http://dx.doi.org/10.1080/13549839.2019.1656180")</f>
        <v>http://dx.doi.org/10.1080/13549839.2019.1656180</v>
      </c>
    </row>
    <row r="30" spans="1:5" x14ac:dyDescent="0.3">
      <c r="A30" s="3">
        <v>29</v>
      </c>
      <c r="B30" s="4" t="s">
        <v>80</v>
      </c>
      <c r="C30" s="4" t="s">
        <v>81</v>
      </c>
      <c r="D30" s="4" t="s">
        <v>82</v>
      </c>
      <c r="E30" s="4" t="str">
        <f>HYPERLINK("http://dx.doi.org/10.1007/s11625-024-01604-4","http://dx.doi.org/10.1007/s11625-024-01604-4")</f>
        <v>http://dx.doi.org/10.1007/s11625-024-01604-4</v>
      </c>
    </row>
    <row r="31" spans="1:5" x14ac:dyDescent="0.3">
      <c r="A31" s="3">
        <v>30</v>
      </c>
      <c r="B31" s="4" t="s">
        <v>83</v>
      </c>
      <c r="C31" s="4" t="s">
        <v>84</v>
      </c>
      <c r="D31" s="4" t="s">
        <v>9</v>
      </c>
      <c r="E31" s="4" t="str">
        <f>HYPERLINK("http://dx.doi.org/10.1016/j.gloenvcha.2023.102655","http://dx.doi.org/10.1016/j.gloenvcha.2023.102655")</f>
        <v>http://dx.doi.org/10.1016/j.gloenvcha.2023.102655</v>
      </c>
    </row>
    <row r="32" spans="1:5" x14ac:dyDescent="0.3">
      <c r="A32" s="3">
        <v>31</v>
      </c>
      <c r="B32" s="4" t="s">
        <v>85</v>
      </c>
      <c r="C32" s="4" t="s">
        <v>86</v>
      </c>
      <c r="D32" s="4" t="s">
        <v>29</v>
      </c>
      <c r="E32" s="4" t="str">
        <f>HYPERLINK("http://dx.doi.org/10.1016/j.envsci.2023.02.022","http://dx.doi.org/10.1016/j.envsci.2023.02.022")</f>
        <v>http://dx.doi.org/10.1016/j.envsci.2023.02.022</v>
      </c>
    </row>
    <row r="33" spans="1:5" x14ac:dyDescent="0.3">
      <c r="A33" s="3">
        <v>32</v>
      </c>
      <c r="B33" s="4" t="s">
        <v>87</v>
      </c>
      <c r="C33" s="4" t="s">
        <v>88</v>
      </c>
      <c r="D33" s="4" t="s">
        <v>89</v>
      </c>
      <c r="E33" s="4" t="str">
        <f>HYPERLINK("http://dx.doi.org/10.1111/nyas.15148","http://dx.doi.org/10.1111/nyas.15148")</f>
        <v>http://dx.doi.org/10.1111/nyas.15148</v>
      </c>
    </row>
    <row r="34" spans="1:5" x14ac:dyDescent="0.3">
      <c r="A34" s="3">
        <v>33</v>
      </c>
      <c r="B34" s="4" t="s">
        <v>90</v>
      </c>
      <c r="C34" s="4" t="s">
        <v>91</v>
      </c>
      <c r="D34" s="4" t="s">
        <v>92</v>
      </c>
      <c r="E34" s="4" t="str">
        <f>HYPERLINK("http://dx.doi.org/10.1108/IJCCSM-03-2012-0014","http://dx.doi.org/10.1108/IJCCSM-03-2012-0014")</f>
        <v>http://dx.doi.org/10.1108/IJCCSM-03-2012-0014</v>
      </c>
    </row>
    <row r="35" spans="1:5" x14ac:dyDescent="0.3">
      <c r="A35" s="3">
        <v>34</v>
      </c>
      <c r="B35" s="4" t="s">
        <v>93</v>
      </c>
      <c r="C35" s="4" t="s">
        <v>94</v>
      </c>
      <c r="D35" s="4" t="s">
        <v>12</v>
      </c>
      <c r="E35" s="4" t="str">
        <f>HYPERLINK("http://dx.doi.org/10.1038/s41558-023-01774-6","http://dx.doi.org/10.1038/s41558-023-01774-6")</f>
        <v>http://dx.doi.org/10.1038/s41558-023-01774-6</v>
      </c>
    </row>
    <row r="36" spans="1:5" x14ac:dyDescent="0.3">
      <c r="A36" s="3">
        <v>35</v>
      </c>
      <c r="B36" s="4" t="s">
        <v>10</v>
      </c>
      <c r="C36" s="4" t="s">
        <v>95</v>
      </c>
      <c r="D36" s="4" t="s">
        <v>23</v>
      </c>
      <c r="E36" s="4" t="str">
        <f>HYPERLINK("http://dx.doi.org/10.1016/j.uclim.2021.101018","http://dx.doi.org/10.1016/j.uclim.2021.101018")</f>
        <v>http://dx.doi.org/10.1016/j.uclim.2021.101018</v>
      </c>
    </row>
    <row r="37" spans="1:5" x14ac:dyDescent="0.3">
      <c r="A37" s="3">
        <v>36</v>
      </c>
      <c r="B37" s="4" t="s">
        <v>96</v>
      </c>
      <c r="C37" s="4" t="s">
        <v>97</v>
      </c>
      <c r="D37" s="4" t="s">
        <v>98</v>
      </c>
      <c r="E37" s="4" t="str">
        <f>HYPERLINK("http://dx.doi.org/10.1016/j.landusepol.2020.104525","http://dx.doi.org/10.1016/j.landusepol.2020.104525")</f>
        <v>http://dx.doi.org/10.1016/j.landusepol.2020.104525</v>
      </c>
    </row>
    <row r="38" spans="1:5" x14ac:dyDescent="0.3">
      <c r="A38" s="3">
        <v>37</v>
      </c>
      <c r="B38" s="4" t="s">
        <v>99</v>
      </c>
      <c r="C38" s="4" t="s">
        <v>100</v>
      </c>
      <c r="D38" s="4" t="s">
        <v>40</v>
      </c>
      <c r="E38" s="4" t="str">
        <f>HYPERLINK("http://dx.doi.org/10.3390/su13126517","http://dx.doi.org/10.3390/su13126517")</f>
        <v>http://dx.doi.org/10.3390/su13126517</v>
      </c>
    </row>
    <row r="39" spans="1:5" x14ac:dyDescent="0.3">
      <c r="A39" s="3">
        <v>38</v>
      </c>
      <c r="B39" s="4" t="s">
        <v>101</v>
      </c>
      <c r="C39" s="4" t="s">
        <v>102</v>
      </c>
      <c r="D39" s="4" t="s">
        <v>103</v>
      </c>
      <c r="E39" s="4" t="str">
        <f>HYPERLINK("http://dx.doi.org/10.1007/s10784-013-9206-5","http://dx.doi.org/10.1007/s10784-013-9206-5")</f>
        <v>http://dx.doi.org/10.1007/s10784-013-9206-5</v>
      </c>
    </row>
    <row r="40" spans="1:5" x14ac:dyDescent="0.3">
      <c r="A40" s="3">
        <v>39</v>
      </c>
      <c r="B40" s="4" t="s">
        <v>104</v>
      </c>
      <c r="C40" s="4" t="s">
        <v>105</v>
      </c>
      <c r="D40" s="4" t="s">
        <v>103</v>
      </c>
      <c r="E40" s="4" t="str">
        <f>HYPERLINK("http://dx.doi.org/10.1007/s10784-024-09660-y","http://dx.doi.org/10.1007/s10784-024-09660-y")</f>
        <v>http://dx.doi.org/10.1007/s10784-024-09660-y</v>
      </c>
    </row>
    <row r="41" spans="1:5" x14ac:dyDescent="0.3">
      <c r="A41" s="3">
        <v>40</v>
      </c>
      <c r="B41" s="4" t="s">
        <v>106</v>
      </c>
      <c r="C41" s="4" t="s">
        <v>107</v>
      </c>
      <c r="D41" s="4" t="s">
        <v>64</v>
      </c>
      <c r="E41" s="4" t="str">
        <f>HYPERLINK("http://dx.doi.org/10.1080/14693062.2011.582385","http://dx.doi.org/10.1080/14693062.2011.582385")</f>
        <v>http://dx.doi.org/10.1080/14693062.2011.582385</v>
      </c>
    </row>
    <row r="42" spans="1:5" x14ac:dyDescent="0.3">
      <c r="A42" s="3">
        <v>41</v>
      </c>
      <c r="B42" s="4" t="s">
        <v>108</v>
      </c>
      <c r="C42" s="4" t="s">
        <v>109</v>
      </c>
      <c r="D42" s="4" t="s">
        <v>110</v>
      </c>
      <c r="E42" s="4" t="str">
        <f>HYPERLINK("http://dx.doi.org/10.1080/03085147.2017.1380982","http://dx.doi.org/10.1080/03085147.2017.1380982")</f>
        <v>http://dx.doi.org/10.1080/03085147.2017.1380982</v>
      </c>
    </row>
    <row r="43" spans="1:5" x14ac:dyDescent="0.3">
      <c r="A43" s="3">
        <v>42</v>
      </c>
      <c r="B43" s="4" t="s">
        <v>111</v>
      </c>
      <c r="C43" s="4" t="s">
        <v>112</v>
      </c>
      <c r="D43" s="4" t="s">
        <v>113</v>
      </c>
      <c r="E43" s="4" t="str">
        <f>HYPERLINK("http://dx.doi.org/10.1016/j.cliser.2024.100490","http://dx.doi.org/10.1016/j.cliser.2024.100490")</f>
        <v>http://dx.doi.org/10.1016/j.cliser.2024.100490</v>
      </c>
    </row>
    <row r="44" spans="1:5" x14ac:dyDescent="0.3">
      <c r="A44" s="3">
        <v>43</v>
      </c>
      <c r="B44" s="4" t="s">
        <v>114</v>
      </c>
      <c r="C44" s="4" t="s">
        <v>115</v>
      </c>
      <c r="D44" s="4" t="s">
        <v>116</v>
      </c>
      <c r="E44" s="4" t="str">
        <f>HYPERLINK("http://dx.doi.org/10.1002/wcc.721","http://dx.doi.org/10.1002/wcc.721")</f>
        <v>http://dx.doi.org/10.1002/wcc.721</v>
      </c>
    </row>
    <row r="45" spans="1:5" x14ac:dyDescent="0.3">
      <c r="A45" s="3">
        <v>44</v>
      </c>
      <c r="B45" s="4" t="s">
        <v>117</v>
      </c>
      <c r="C45" s="4" t="s">
        <v>118</v>
      </c>
      <c r="D45" s="4" t="s">
        <v>119</v>
      </c>
      <c r="E45" s="4" t="str">
        <f>HYPERLINK("http://dx.doi.org/10.1016/j.cosust.2021.02.009","http://dx.doi.org/10.1016/j.cosust.2021.02.009")</f>
        <v>http://dx.doi.org/10.1016/j.cosust.2021.02.009</v>
      </c>
    </row>
    <row r="46" spans="1:5" x14ac:dyDescent="0.3">
      <c r="A46" s="3">
        <v>45</v>
      </c>
      <c r="B46" s="4" t="s">
        <v>120</v>
      </c>
      <c r="C46" s="4" t="s">
        <v>121</v>
      </c>
      <c r="D46" s="4" t="s">
        <v>64</v>
      </c>
      <c r="E46" s="4" t="str">
        <f>HYPERLINK("http://dx.doi.org/10.1080/14693062.2014.953906","http://dx.doi.org/10.1080/14693062.2014.953906")</f>
        <v>http://dx.doi.org/10.1080/14693062.2014.953906</v>
      </c>
    </row>
    <row r="47" spans="1:5" x14ac:dyDescent="0.3">
      <c r="A47" s="3">
        <v>46</v>
      </c>
      <c r="B47" s="4" t="s">
        <v>122</v>
      </c>
      <c r="C47" s="4" t="s">
        <v>123</v>
      </c>
      <c r="D47" s="4" t="s">
        <v>20</v>
      </c>
      <c r="E47" s="4" t="str">
        <f>HYPERLINK("http://dx.doi.org/10.1088/1748-9326/11/5/054006","http://dx.doi.org/10.1088/1748-9326/11/5/054006")</f>
        <v>http://dx.doi.org/10.1088/1748-9326/11/5/054006</v>
      </c>
    </row>
    <row r="48" spans="1:5" x14ac:dyDescent="0.3">
      <c r="A48" s="3">
        <v>47</v>
      </c>
      <c r="B48" s="4" t="s">
        <v>124</v>
      </c>
      <c r="C48" s="4" t="s">
        <v>125</v>
      </c>
      <c r="D48" s="4" t="s">
        <v>119</v>
      </c>
      <c r="E48" s="4" t="str">
        <f>HYPERLINK("http://dx.doi.org/10.1016/j.cosust.2023.101269","http://dx.doi.org/10.1016/j.cosust.2023.101269")</f>
        <v>http://dx.doi.org/10.1016/j.cosust.2023.101269</v>
      </c>
    </row>
    <row r="49" spans="1:5" x14ac:dyDescent="0.3">
      <c r="A49" s="3">
        <v>48</v>
      </c>
      <c r="B49" s="4" t="s">
        <v>126</v>
      </c>
      <c r="C49" s="4" t="s">
        <v>127</v>
      </c>
      <c r="D49" s="4" t="s">
        <v>128</v>
      </c>
      <c r="E49" s="4" t="str">
        <f>HYPERLINK("http://dx.doi.org/10.1111/risa.17664","http://dx.doi.org/10.1111/risa.17664")</f>
        <v>http://dx.doi.org/10.1111/risa.17664</v>
      </c>
    </row>
    <row r="50" spans="1:5" x14ac:dyDescent="0.3">
      <c r="A50" s="3">
        <v>49</v>
      </c>
      <c r="B50" s="4" t="s">
        <v>129</v>
      </c>
      <c r="C50" s="4" t="s">
        <v>130</v>
      </c>
      <c r="D50" s="4" t="s">
        <v>15</v>
      </c>
      <c r="E50" s="4" t="str">
        <f>HYPERLINK("http://dx.doi.org/10.1080/13549839.2024.2353040","http://dx.doi.org/10.1080/13549839.2024.2353040")</f>
        <v>http://dx.doi.org/10.1080/13549839.2024.2353040</v>
      </c>
    </row>
    <row r="51" spans="1:5" x14ac:dyDescent="0.3">
      <c r="A51" s="3">
        <v>50</v>
      </c>
      <c r="B51" s="4" t="s">
        <v>131</v>
      </c>
      <c r="C51" s="4" t="s">
        <v>132</v>
      </c>
      <c r="D51" s="4" t="s">
        <v>9</v>
      </c>
      <c r="E51" s="4" t="str">
        <f>HYPERLINK("http://dx.doi.org/10.1016/j.gloenvcha.2021.102450","http://dx.doi.org/10.1016/j.gloenvcha.2021.102450")</f>
        <v>http://dx.doi.org/10.1016/j.gloenvcha.2021.102450</v>
      </c>
    </row>
    <row r="52" spans="1:5" x14ac:dyDescent="0.3">
      <c r="A52" s="3">
        <v>51</v>
      </c>
      <c r="B52" s="4" t="s">
        <v>133</v>
      </c>
      <c r="C52" s="4" t="s">
        <v>134</v>
      </c>
      <c r="D52" s="4" t="s">
        <v>135</v>
      </c>
      <c r="E52" s="4" t="str">
        <f>HYPERLINK("http://dx.doi.org/10.1177/09562478211021710","http://dx.doi.org/10.1177/09562478211021710")</f>
        <v>http://dx.doi.org/10.1177/09562478211021710</v>
      </c>
    </row>
    <row r="53" spans="1:5" x14ac:dyDescent="0.3">
      <c r="A53" s="3">
        <v>52</v>
      </c>
      <c r="B53" s="4" t="s">
        <v>136</v>
      </c>
      <c r="C53" s="4" t="s">
        <v>137</v>
      </c>
      <c r="D53" s="4" t="s">
        <v>138</v>
      </c>
      <c r="E53" s="4" t="str">
        <f>HYPERLINK("http://dx.doi.org/10.1016/j.scs.2021.102755","http://dx.doi.org/10.1016/j.scs.2021.102755")</f>
        <v>http://dx.doi.org/10.1016/j.scs.2021.102755</v>
      </c>
    </row>
    <row r="54" spans="1:5" x14ac:dyDescent="0.3">
      <c r="A54" s="3">
        <v>53</v>
      </c>
      <c r="B54" s="4" t="s">
        <v>139</v>
      </c>
      <c r="C54" s="4" t="s">
        <v>140</v>
      </c>
      <c r="D54" s="4" t="s">
        <v>141</v>
      </c>
      <c r="E54" s="4" t="str">
        <f>HYPERLINK("http://dx.doi.org/10.1016/j.envdev.2021.100680","http://dx.doi.org/10.1016/j.envdev.2021.100680")</f>
        <v>http://dx.doi.org/10.1016/j.envdev.2021.100680</v>
      </c>
    </row>
    <row r="55" spans="1:5" x14ac:dyDescent="0.3">
      <c r="A55" s="3">
        <v>54</v>
      </c>
      <c r="B55" s="4" t="s">
        <v>142</v>
      </c>
      <c r="C55" s="4" t="s">
        <v>143</v>
      </c>
      <c r="D55" s="4" t="s">
        <v>144</v>
      </c>
      <c r="E55" s="4" t="str">
        <f>HYPERLINK("http://dx.doi.org/10.1162/GLEP_a_00153","http://dx.doi.org/10.1162/GLEP_a_00153")</f>
        <v>http://dx.doi.org/10.1162/GLEP_a_00153</v>
      </c>
    </row>
    <row r="56" spans="1:5" x14ac:dyDescent="0.3">
      <c r="A56" s="3">
        <v>55</v>
      </c>
      <c r="B56" s="4" t="s">
        <v>145</v>
      </c>
      <c r="C56" s="4" t="s">
        <v>146</v>
      </c>
      <c r="D56" s="4" t="s">
        <v>147</v>
      </c>
      <c r="E56" s="4" t="str">
        <f>HYPERLINK("http://dx.doi.org/10.1017/S2047102518000286","http://dx.doi.org/10.1017/S2047102518000286")</f>
        <v>http://dx.doi.org/10.1017/S2047102518000286</v>
      </c>
    </row>
    <row r="57" spans="1:5" x14ac:dyDescent="0.3">
      <c r="A57" s="3">
        <v>56</v>
      </c>
      <c r="B57" s="4" t="s">
        <v>148</v>
      </c>
      <c r="C57" s="4" t="s">
        <v>149</v>
      </c>
      <c r="D57" s="4" t="s">
        <v>150</v>
      </c>
      <c r="E57" s="4" t="str">
        <f>HYPERLINK("http://dx.doi.org/10.1068/c1152","http://dx.doi.org/10.1068/c1152")</f>
        <v>http://dx.doi.org/10.1068/c1152</v>
      </c>
    </row>
    <row r="58" spans="1:5" x14ac:dyDescent="0.3">
      <c r="A58" s="3">
        <v>57</v>
      </c>
      <c r="B58" s="4" t="s">
        <v>151</v>
      </c>
      <c r="C58" s="4" t="s">
        <v>152</v>
      </c>
      <c r="D58" s="4" t="s">
        <v>46</v>
      </c>
      <c r="E58" s="4" t="str">
        <f>HYPERLINK("http://dx.doi.org/10.1007/s10584-021-03195-w","http://dx.doi.org/10.1007/s10584-021-03195-w")</f>
        <v>http://dx.doi.org/10.1007/s10584-021-03195-w</v>
      </c>
    </row>
    <row r="59" spans="1:5" x14ac:dyDescent="0.3">
      <c r="A59" s="3">
        <v>58</v>
      </c>
      <c r="B59" s="4" t="s">
        <v>153</v>
      </c>
      <c r="C59" s="4" t="s">
        <v>154</v>
      </c>
      <c r="D59" s="4" t="s">
        <v>155</v>
      </c>
      <c r="E59" s="4" t="str">
        <f>HYPERLINK("http://dx.doi.org/10.5751/ES-10980-240228","http://dx.doi.org/10.5751/ES-10980-240228")</f>
        <v>http://dx.doi.org/10.5751/ES-10980-240228</v>
      </c>
    </row>
    <row r="60" spans="1:5" x14ac:dyDescent="0.3">
      <c r="A60" s="3">
        <v>59</v>
      </c>
      <c r="B60" s="4" t="s">
        <v>156</v>
      </c>
      <c r="C60" s="4" t="s">
        <v>157</v>
      </c>
      <c r="D60" s="4" t="s">
        <v>20</v>
      </c>
      <c r="E60" s="4" t="str">
        <f>HYPERLINK("http://dx.doi.org/10.1088/1748-9326/ad383e","http://dx.doi.org/10.1088/1748-9326/ad383e")</f>
        <v>http://dx.doi.org/10.1088/1748-9326/ad383e</v>
      </c>
    </row>
    <row r="61" spans="1:5" x14ac:dyDescent="0.3">
      <c r="A61" s="3">
        <v>60</v>
      </c>
      <c r="B61" s="4" t="s">
        <v>158</v>
      </c>
      <c r="C61" s="4" t="s">
        <v>159</v>
      </c>
      <c r="D61" s="4" t="s">
        <v>160</v>
      </c>
      <c r="E61" s="4" t="str">
        <f>HYPERLINK("http://dx.doi.org/10.1080/1523908X.2024.2356806","http://dx.doi.org/10.1080/1523908X.2024.2356806")</f>
        <v>http://dx.doi.org/10.1080/1523908X.2024.2356806</v>
      </c>
    </row>
    <row r="62" spans="1:5" x14ac:dyDescent="0.3">
      <c r="A62" s="3">
        <v>61</v>
      </c>
      <c r="B62" s="4" t="s">
        <v>161</v>
      </c>
      <c r="C62" s="4" t="s">
        <v>162</v>
      </c>
      <c r="D62" s="4" t="s">
        <v>163</v>
      </c>
      <c r="E62" s="4" t="str">
        <f>HYPERLINK("http://dx.doi.org/10.1175/WCAS-D-23-0112.1","http://dx.doi.org/10.1175/WCAS-D-23-0112.1")</f>
        <v>http://dx.doi.org/10.1175/WCAS-D-23-0112.1</v>
      </c>
    </row>
    <row r="63" spans="1:5" x14ac:dyDescent="0.3">
      <c r="A63" s="3">
        <v>62</v>
      </c>
      <c r="B63" s="4" t="s">
        <v>164</v>
      </c>
      <c r="C63" s="4" t="s">
        <v>165</v>
      </c>
      <c r="D63" s="4" t="s">
        <v>166</v>
      </c>
      <c r="E63" s="4" t="s">
        <v>167</v>
      </c>
    </row>
    <row r="64" spans="1:5" x14ac:dyDescent="0.3">
      <c r="A64" s="3">
        <v>63</v>
      </c>
      <c r="B64" s="4" t="s">
        <v>168</v>
      </c>
      <c r="C64" s="4" t="s">
        <v>169</v>
      </c>
      <c r="D64" s="4" t="s">
        <v>170</v>
      </c>
      <c r="E64" s="4" t="str">
        <f>HYPERLINK("http://dx.doi.org/10.1016/j.habitatint.2023.102946","http://dx.doi.org/10.1016/j.habitatint.2023.102946")</f>
        <v>http://dx.doi.org/10.1016/j.habitatint.2023.102946</v>
      </c>
    </row>
    <row r="65" spans="1:5" x14ac:dyDescent="0.3">
      <c r="A65" s="3">
        <v>64</v>
      </c>
      <c r="B65" s="4" t="s">
        <v>171</v>
      </c>
      <c r="C65" s="4" t="s">
        <v>172</v>
      </c>
      <c r="D65" s="4" t="s">
        <v>173</v>
      </c>
      <c r="E65" s="4" t="str">
        <f>HYPERLINK("http://dx.doi.org/10.1111/soin.12526","http://dx.doi.org/10.1111/soin.12526")</f>
        <v>http://dx.doi.org/10.1111/soin.12526</v>
      </c>
    </row>
    <row r="66" spans="1:5" x14ac:dyDescent="0.3">
      <c r="A66" s="3">
        <v>65</v>
      </c>
      <c r="B66" s="4" t="s">
        <v>174</v>
      </c>
      <c r="C66" s="4" t="s">
        <v>175</v>
      </c>
      <c r="D66" s="4" t="s">
        <v>64</v>
      </c>
      <c r="E66" s="4" t="str">
        <f>HYPERLINK("http://dx.doi.org/10.1080/14693062.2022.2093152","http://dx.doi.org/10.1080/14693062.2022.2093152")</f>
        <v>http://dx.doi.org/10.1080/14693062.2022.2093152</v>
      </c>
    </row>
    <row r="67" spans="1:5" x14ac:dyDescent="0.3">
      <c r="A67" s="3">
        <v>66</v>
      </c>
      <c r="B67" s="4" t="s">
        <v>176</v>
      </c>
      <c r="C67" s="4" t="s">
        <v>177</v>
      </c>
      <c r="D67" s="4" t="s">
        <v>178</v>
      </c>
      <c r="E67" s="4" t="str">
        <f>HYPERLINK("http://dx.doi.org/10.1016/j.ecoser.2024.101617","http://dx.doi.org/10.1016/j.ecoser.2024.101617")</f>
        <v>http://dx.doi.org/10.1016/j.ecoser.2024.101617</v>
      </c>
    </row>
    <row r="68" spans="1:5" x14ac:dyDescent="0.3">
      <c r="A68" s="3">
        <v>67</v>
      </c>
      <c r="B68" s="4" t="s">
        <v>179</v>
      </c>
      <c r="C68" s="4" t="s">
        <v>180</v>
      </c>
      <c r="D68" s="4" t="s">
        <v>29</v>
      </c>
      <c r="E68" s="4" t="str">
        <f>HYPERLINK("http://dx.doi.org/10.1016/j.envsci.2015.09.014","http://dx.doi.org/10.1016/j.envsci.2015.09.014")</f>
        <v>http://dx.doi.org/10.1016/j.envsci.2015.09.014</v>
      </c>
    </row>
    <row r="69" spans="1:5" x14ac:dyDescent="0.3">
      <c r="A69" s="3">
        <v>68</v>
      </c>
      <c r="B69" s="4" t="s">
        <v>181</v>
      </c>
      <c r="C69" s="4" t="s">
        <v>182</v>
      </c>
      <c r="D69" s="4" t="s">
        <v>64</v>
      </c>
      <c r="E69" s="4" t="str">
        <f>HYPERLINK("http://dx.doi.org/10.1080/14693062.2011.605563","http://dx.doi.org/10.1080/14693062.2011.605563")</f>
        <v>http://dx.doi.org/10.1080/14693062.2011.605563</v>
      </c>
    </row>
    <row r="70" spans="1:5" x14ac:dyDescent="0.3">
      <c r="A70" s="3">
        <v>69</v>
      </c>
      <c r="B70" s="4" t="s">
        <v>183</v>
      </c>
      <c r="C70" s="4" t="s">
        <v>184</v>
      </c>
      <c r="D70" s="4" t="s">
        <v>185</v>
      </c>
      <c r="E70" s="4" t="str">
        <f>HYPERLINK("http://dx.doi.org/10.3389/fsufs.2022.984276","http://dx.doi.org/10.3389/fsufs.2022.984276")</f>
        <v>http://dx.doi.org/10.3389/fsufs.2022.984276</v>
      </c>
    </row>
    <row r="71" spans="1:5" x14ac:dyDescent="0.3">
      <c r="A71" s="3">
        <v>70</v>
      </c>
      <c r="B71" s="4" t="s">
        <v>186</v>
      </c>
      <c r="C71" s="4" t="s">
        <v>187</v>
      </c>
      <c r="D71" s="4" t="s">
        <v>61</v>
      </c>
      <c r="E71" s="4" t="str">
        <f>HYPERLINK("http://dx.doi.org/10.1080/17565529.2013.826130","http://dx.doi.org/10.1080/17565529.2013.826130")</f>
        <v>http://dx.doi.org/10.1080/17565529.2013.826130</v>
      </c>
    </row>
    <row r="72" spans="1:5" x14ac:dyDescent="0.3">
      <c r="A72" s="3">
        <v>71</v>
      </c>
      <c r="B72" s="4" t="s">
        <v>188</v>
      </c>
      <c r="C72" s="4" t="s">
        <v>189</v>
      </c>
      <c r="D72" s="4" t="s">
        <v>77</v>
      </c>
      <c r="E72" s="4" t="str">
        <f>HYPERLINK("http://dx.doi.org/10.1016/j.cities.2024.105474","http://dx.doi.org/10.1016/j.cities.2024.105474")</f>
        <v>http://dx.doi.org/10.1016/j.cities.2024.105474</v>
      </c>
    </row>
    <row r="73" spans="1:5" x14ac:dyDescent="0.3">
      <c r="A73" s="3">
        <v>72</v>
      </c>
      <c r="B73" s="4" t="s">
        <v>190</v>
      </c>
      <c r="C73" s="4" t="s">
        <v>191</v>
      </c>
      <c r="D73" s="4" t="s">
        <v>178</v>
      </c>
      <c r="E73" s="4" t="str">
        <f>HYPERLINK("http://dx.doi.org/10.1016/j.ecoser.2024.101677","http://dx.doi.org/10.1016/j.ecoser.2024.101677")</f>
        <v>http://dx.doi.org/10.1016/j.ecoser.2024.101677</v>
      </c>
    </row>
    <row r="74" spans="1:5" x14ac:dyDescent="0.3">
      <c r="A74" s="3">
        <v>73</v>
      </c>
      <c r="B74" s="4" t="s">
        <v>192</v>
      </c>
      <c r="C74" s="4" t="s">
        <v>193</v>
      </c>
      <c r="D74" s="4" t="s">
        <v>194</v>
      </c>
      <c r="E74" s="4" t="str">
        <f>HYPERLINK("http://dx.doi.org/10.1016/j.jhg.2011.12.002","http://dx.doi.org/10.1016/j.jhg.2011.12.002")</f>
        <v>http://dx.doi.org/10.1016/j.jhg.2011.12.002</v>
      </c>
    </row>
    <row r="75" spans="1:5" x14ac:dyDescent="0.3">
      <c r="A75" s="3">
        <v>74</v>
      </c>
      <c r="B75" s="4" t="s">
        <v>195</v>
      </c>
      <c r="C75" s="4" t="s">
        <v>196</v>
      </c>
      <c r="D75" s="4" t="s">
        <v>15</v>
      </c>
      <c r="E75" s="4" t="str">
        <f>HYPERLINK("http://dx.doi.org/10.1080/13549839.2014.911268","http://dx.doi.org/10.1080/13549839.2014.911268")</f>
        <v>http://dx.doi.org/10.1080/13549839.2014.911268</v>
      </c>
    </row>
    <row r="76" spans="1:5" x14ac:dyDescent="0.3">
      <c r="A76" s="3">
        <v>75</v>
      </c>
      <c r="B76" s="4" t="s">
        <v>197</v>
      </c>
      <c r="C76" s="4" t="s">
        <v>198</v>
      </c>
      <c r="D76" s="4" t="s">
        <v>199</v>
      </c>
      <c r="E76" s="4" t="str">
        <f>HYPERLINK("http://dx.doi.org/10.1080/09644016.2017.1287625","http://dx.doi.org/10.1080/09644016.2017.1287625")</f>
        <v>http://dx.doi.org/10.1080/09644016.2017.1287625</v>
      </c>
    </row>
    <row r="77" spans="1:5" x14ac:dyDescent="0.3">
      <c r="A77" s="3">
        <v>76</v>
      </c>
      <c r="B77" s="4" t="s">
        <v>200</v>
      </c>
      <c r="C77" s="4" t="s">
        <v>201</v>
      </c>
      <c r="D77" s="4" t="s">
        <v>202</v>
      </c>
      <c r="E77" s="4" t="str">
        <f>HYPERLINK("http://dx.doi.org/10.1080/09640568.2022.2026308","http://dx.doi.org/10.1080/09640568.2022.2026308")</f>
        <v>http://dx.doi.org/10.1080/09640568.2022.2026308</v>
      </c>
    </row>
    <row r="78" spans="1:5" x14ac:dyDescent="0.3">
      <c r="A78" s="3">
        <v>77</v>
      </c>
      <c r="B78" s="4" t="s">
        <v>203</v>
      </c>
      <c r="C78" s="4" t="s">
        <v>204</v>
      </c>
      <c r="D78" s="4" t="s">
        <v>116</v>
      </c>
      <c r="E78" s="4" t="str">
        <f>HYPERLINK("http://dx.doi.org/10.1002/wcc.640","http://dx.doi.org/10.1002/wcc.640")</f>
        <v>http://dx.doi.org/10.1002/wcc.640</v>
      </c>
    </row>
    <row r="79" spans="1:5" x14ac:dyDescent="0.3">
      <c r="A79" s="3">
        <v>78</v>
      </c>
      <c r="B79" s="4" t="s">
        <v>205</v>
      </c>
      <c r="C79" s="4" t="s">
        <v>206</v>
      </c>
      <c r="D79" s="4" t="s">
        <v>207</v>
      </c>
      <c r="E79" s="4" t="str">
        <f>HYPERLINK("http://dx.doi.org/10.1007/s10113-020-01716-4","http://dx.doi.org/10.1007/s10113-020-01716-4")</f>
        <v>http://dx.doi.org/10.1007/s10113-020-01716-4</v>
      </c>
    </row>
    <row r="80" spans="1:5" x14ac:dyDescent="0.3">
      <c r="A80" s="3">
        <v>79</v>
      </c>
      <c r="B80" s="4" t="s">
        <v>208</v>
      </c>
      <c r="C80" s="4" t="s">
        <v>209</v>
      </c>
      <c r="D80" s="4" t="s">
        <v>210</v>
      </c>
      <c r="E80" s="4" t="str">
        <f>HYPERLINK("http://dx.doi.org/10.1177/25148486241287446","http://dx.doi.org/10.1177/25148486241287446")</f>
        <v>http://dx.doi.org/10.1177/25148486241287446</v>
      </c>
    </row>
    <row r="81" spans="1:5" x14ac:dyDescent="0.3">
      <c r="A81" s="3">
        <v>80</v>
      </c>
      <c r="B81" s="4" t="s">
        <v>211</v>
      </c>
      <c r="C81" s="4" t="s">
        <v>212</v>
      </c>
      <c r="D81" s="4" t="s">
        <v>116</v>
      </c>
      <c r="E81" s="4" t="str">
        <f>HYPERLINK("http://dx.doi.org/10.1002/wcc.695","http://dx.doi.org/10.1002/wcc.695")</f>
        <v>http://dx.doi.org/10.1002/wcc.695</v>
      </c>
    </row>
    <row r="82" spans="1:5" x14ac:dyDescent="0.3">
      <c r="A82" s="3">
        <v>81</v>
      </c>
      <c r="B82" s="4" t="s">
        <v>213</v>
      </c>
      <c r="C82" s="4" t="s">
        <v>214</v>
      </c>
      <c r="D82" s="4" t="s">
        <v>9</v>
      </c>
      <c r="E82" s="4" t="str">
        <f>HYPERLINK("http://dx.doi.org/10.1016/j.gloenvcha.2020.102035","http://dx.doi.org/10.1016/j.gloenvcha.2020.102035")</f>
        <v>http://dx.doi.org/10.1016/j.gloenvcha.2020.102035</v>
      </c>
    </row>
    <row r="83" spans="1:5" x14ac:dyDescent="0.3">
      <c r="A83" s="3">
        <v>82</v>
      </c>
      <c r="B83" s="4" t="s">
        <v>215</v>
      </c>
      <c r="C83" s="4" t="s">
        <v>216</v>
      </c>
      <c r="D83" s="4" t="s">
        <v>40</v>
      </c>
      <c r="E83" s="4" t="str">
        <f>HYPERLINK("http://dx.doi.org/10.3390/su13126515","http://dx.doi.org/10.3390/su13126515")</f>
        <v>http://dx.doi.org/10.3390/su13126515</v>
      </c>
    </row>
    <row r="84" spans="1:5" x14ac:dyDescent="0.3">
      <c r="A84" s="3">
        <v>83</v>
      </c>
      <c r="B84" s="4" t="s">
        <v>217</v>
      </c>
      <c r="C84" s="4" t="s">
        <v>218</v>
      </c>
      <c r="D84" s="4" t="s">
        <v>219</v>
      </c>
      <c r="E84" s="4" t="str">
        <f>HYPERLINK("http://dx.doi.org/10.1177/0042098016686509","http://dx.doi.org/10.1177/0042098016686509")</f>
        <v>http://dx.doi.org/10.1177/0042098016686509</v>
      </c>
    </row>
    <row r="85" spans="1:5" x14ac:dyDescent="0.3">
      <c r="A85" s="3">
        <v>84</v>
      </c>
      <c r="B85" s="4" t="s">
        <v>220</v>
      </c>
      <c r="C85" s="4" t="s">
        <v>221</v>
      </c>
      <c r="D85" s="4" t="s">
        <v>222</v>
      </c>
      <c r="E85" s="4" t="str">
        <f>HYPERLINK("http://dx.doi.org/10.1002/eap.2390","http://dx.doi.org/10.1002/eap.2390")</f>
        <v>http://dx.doi.org/10.1002/eap.2390</v>
      </c>
    </row>
    <row r="86" spans="1:5" x14ac:dyDescent="0.3">
      <c r="A86" s="3">
        <v>85</v>
      </c>
      <c r="B86" s="4" t="s">
        <v>223</v>
      </c>
      <c r="C86" s="4" t="s">
        <v>224</v>
      </c>
      <c r="D86" s="4" t="s">
        <v>210</v>
      </c>
      <c r="E86" s="4" t="str">
        <f>HYPERLINK("http://dx.doi.org/10.1177/25148486211022450","http://dx.doi.org/10.1177/25148486211022450")</f>
        <v>http://dx.doi.org/10.1177/25148486211022450</v>
      </c>
    </row>
    <row r="87" spans="1:5" x14ac:dyDescent="0.3">
      <c r="A87" s="3">
        <v>86</v>
      </c>
      <c r="B87" s="4" t="s">
        <v>225</v>
      </c>
      <c r="C87" s="4" t="s">
        <v>226</v>
      </c>
      <c r="D87" s="4" t="s">
        <v>29</v>
      </c>
      <c r="E87" s="4" t="str">
        <f>HYPERLINK("http://dx.doi.org/10.1016/j.envsci.2018.12.015","http://dx.doi.org/10.1016/j.envsci.2018.12.015")</f>
        <v>http://dx.doi.org/10.1016/j.envsci.2018.12.015</v>
      </c>
    </row>
    <row r="88" spans="1:5" x14ac:dyDescent="0.3">
      <c r="A88" s="3">
        <v>87</v>
      </c>
      <c r="B88" s="4" t="s">
        <v>227</v>
      </c>
      <c r="C88" s="4" t="s">
        <v>228</v>
      </c>
      <c r="D88" s="4" t="s">
        <v>229</v>
      </c>
      <c r="E88" s="4" t="str">
        <f>HYPERLINK("http://dx.doi.org/10.1007/s13280-022-01771-7","http://dx.doi.org/10.1007/s13280-022-01771-7")</f>
        <v>http://dx.doi.org/10.1007/s13280-022-01771-7</v>
      </c>
    </row>
    <row r="89" spans="1:5" x14ac:dyDescent="0.3">
      <c r="A89" s="3">
        <v>88</v>
      </c>
      <c r="B89" s="4" t="s">
        <v>230</v>
      </c>
      <c r="C89" s="4" t="s">
        <v>231</v>
      </c>
      <c r="D89" s="4" t="s">
        <v>64</v>
      </c>
      <c r="E89" s="4" t="str">
        <f>HYPERLINK("http://dx.doi.org/10.1080/14693062.2018.1515061","http://dx.doi.org/10.1080/14693062.2018.1515061")</f>
        <v>http://dx.doi.org/10.1080/14693062.2018.1515061</v>
      </c>
    </row>
    <row r="90" spans="1:5" x14ac:dyDescent="0.3">
      <c r="A90" s="3">
        <v>89</v>
      </c>
      <c r="B90" s="4" t="s">
        <v>232</v>
      </c>
      <c r="C90" s="4" t="s">
        <v>233</v>
      </c>
      <c r="D90" s="4" t="s">
        <v>12</v>
      </c>
      <c r="E90" s="4" t="str">
        <f>HYPERLINK("http://dx.doi.org/10.1038/s41558-023-01809-y","http://dx.doi.org/10.1038/s41558-023-01809-y")</f>
        <v>http://dx.doi.org/10.1038/s41558-023-01809-y</v>
      </c>
    </row>
    <row r="91" spans="1:5" x14ac:dyDescent="0.3">
      <c r="A91" s="3">
        <v>90</v>
      </c>
      <c r="B91" s="4" t="s">
        <v>234</v>
      </c>
      <c r="C91" s="4" t="s">
        <v>235</v>
      </c>
      <c r="D91" s="4" t="s">
        <v>236</v>
      </c>
      <c r="E91" s="4" t="str">
        <f>HYPERLINK("http://dx.doi.org/10.17645/pag.v9i2.3892","http://dx.doi.org/10.17645/pag.v9i2.3892")</f>
        <v>http://dx.doi.org/10.17645/pag.v9i2.3892</v>
      </c>
    </row>
    <row r="92" spans="1:5" x14ac:dyDescent="0.3">
      <c r="A92" s="3">
        <v>91</v>
      </c>
      <c r="B92" s="4" t="s">
        <v>237</v>
      </c>
      <c r="C92" s="4" t="s">
        <v>238</v>
      </c>
      <c r="D92" s="4" t="s">
        <v>40</v>
      </c>
      <c r="E92" s="4" t="str">
        <f>HYPERLINK("http://dx.doi.org/10.3390/su13084217","http://dx.doi.org/10.3390/su13084217")</f>
        <v>http://dx.doi.org/10.3390/su13084217</v>
      </c>
    </row>
    <row r="93" spans="1:5" x14ac:dyDescent="0.3">
      <c r="A93" s="3">
        <v>92</v>
      </c>
      <c r="B93" s="4" t="s">
        <v>239</v>
      </c>
      <c r="C93" s="4" t="s">
        <v>240</v>
      </c>
      <c r="D93" s="4" t="s">
        <v>241</v>
      </c>
      <c r="E93" s="4" t="str">
        <f>HYPERLINK("http://dx.doi.org/10.1016/j.ocecoaman.2020.105223","http://dx.doi.org/10.1016/j.ocecoaman.2020.105223")</f>
        <v>http://dx.doi.org/10.1016/j.ocecoaman.2020.105223</v>
      </c>
    </row>
    <row r="94" spans="1:5" x14ac:dyDescent="0.3">
      <c r="A94" s="3">
        <v>93</v>
      </c>
      <c r="B94" s="4" t="s">
        <v>242</v>
      </c>
      <c r="C94" s="4" t="s">
        <v>243</v>
      </c>
      <c r="D94" s="4" t="s">
        <v>244</v>
      </c>
      <c r="E94" s="4" t="str">
        <f>HYPERLINK("http://dx.doi.org/10.1016/j.jenvman.2024.123380","http://dx.doi.org/10.1016/j.jenvman.2024.123380")</f>
        <v>http://dx.doi.org/10.1016/j.jenvman.2024.123380</v>
      </c>
    </row>
    <row r="95" spans="1:5" x14ac:dyDescent="0.3">
      <c r="A95" s="3">
        <v>94</v>
      </c>
      <c r="B95" s="4" t="s">
        <v>245</v>
      </c>
      <c r="C95" s="4" t="s">
        <v>246</v>
      </c>
      <c r="D95" s="4" t="s">
        <v>70</v>
      </c>
      <c r="E95" s="4" t="str">
        <f>HYPERLINK("http://dx.doi.org/10.1177/1070496516664179","http://dx.doi.org/10.1177/1070496516664179")</f>
        <v>http://dx.doi.org/10.1177/1070496516664179</v>
      </c>
    </row>
    <row r="96" spans="1:5" x14ac:dyDescent="0.3">
      <c r="A96" s="3">
        <v>95</v>
      </c>
      <c r="B96" s="4" t="s">
        <v>247</v>
      </c>
      <c r="C96" s="4" t="s">
        <v>248</v>
      </c>
      <c r="D96" s="4" t="s">
        <v>249</v>
      </c>
      <c r="E96" s="4" t="str">
        <f>HYPERLINK("http://dx.doi.org/10.1088/2515-7620/ad9f10","http://dx.doi.org/10.1088/2515-7620/ad9f10")</f>
        <v>http://dx.doi.org/10.1088/2515-7620/ad9f10</v>
      </c>
    </row>
    <row r="97" spans="1:5" x14ac:dyDescent="0.3">
      <c r="A97" s="3">
        <v>96</v>
      </c>
      <c r="B97" s="4" t="s">
        <v>250</v>
      </c>
      <c r="C97" s="4" t="s">
        <v>251</v>
      </c>
      <c r="D97" s="4" t="s">
        <v>252</v>
      </c>
      <c r="E97" s="4" t="str">
        <f>HYPERLINK("http://dx.doi.org/10.1002/pan3.10278","http://dx.doi.org/10.1002/pan3.10278")</f>
        <v>http://dx.doi.org/10.1002/pan3.10278</v>
      </c>
    </row>
    <row r="98" spans="1:5" x14ac:dyDescent="0.3">
      <c r="A98" s="3">
        <v>97</v>
      </c>
      <c r="B98" s="4" t="s">
        <v>253</v>
      </c>
      <c r="C98" s="4" t="s">
        <v>254</v>
      </c>
      <c r="D98" s="4" t="s">
        <v>40</v>
      </c>
      <c r="E98" s="4" t="str">
        <f>HYPERLINK("http://dx.doi.org/10.3390/su13063450","http://dx.doi.org/10.3390/su13063450")</f>
        <v>http://dx.doi.org/10.3390/su13063450</v>
      </c>
    </row>
    <row r="99" spans="1:5" x14ac:dyDescent="0.3">
      <c r="A99" s="3">
        <v>98</v>
      </c>
      <c r="B99" s="4" t="s">
        <v>255</v>
      </c>
      <c r="C99" s="4" t="s">
        <v>256</v>
      </c>
      <c r="D99" s="4" t="s">
        <v>257</v>
      </c>
      <c r="E99" s="4" t="str">
        <f>HYPERLINK("http://dx.doi.org/10.1371/journal.pone.0072590","http://dx.doi.org/10.1371/journal.pone.0072590")</f>
        <v>http://dx.doi.org/10.1371/journal.pone.0072590</v>
      </c>
    </row>
    <row r="100" spans="1:5" x14ac:dyDescent="0.3">
      <c r="A100" s="3">
        <v>99</v>
      </c>
      <c r="B100" s="4" t="s">
        <v>258</v>
      </c>
      <c r="C100" s="4" t="s">
        <v>259</v>
      </c>
      <c r="D100" s="4" t="s">
        <v>163</v>
      </c>
      <c r="E100" s="4" t="str">
        <f>HYPERLINK("http://dx.doi.org/10.1175/WCAS-D-16-0121.1","http://dx.doi.org/10.1175/WCAS-D-16-0121.1")</f>
        <v>http://dx.doi.org/10.1175/WCAS-D-16-0121.1</v>
      </c>
    </row>
    <row r="101" spans="1:5" x14ac:dyDescent="0.3">
      <c r="A101" s="3">
        <v>100</v>
      </c>
      <c r="B101" s="4" t="s">
        <v>260</v>
      </c>
      <c r="C101" s="4" t="s">
        <v>261</v>
      </c>
      <c r="D101" s="4" t="s">
        <v>98</v>
      </c>
      <c r="E101" s="4" t="str">
        <f>HYPERLINK("http://dx.doi.org/10.1016/j.landusepol.2022.106358","http://dx.doi.org/10.1016/j.landusepol.2022.106358")</f>
        <v>http://dx.doi.org/10.1016/j.landusepol.2022.106358</v>
      </c>
    </row>
    <row r="102" spans="1:5" x14ac:dyDescent="0.3">
      <c r="A102" s="3">
        <v>101</v>
      </c>
      <c r="B102" s="4" t="s">
        <v>262</v>
      </c>
      <c r="C102" s="4" t="s">
        <v>263</v>
      </c>
      <c r="D102" s="4" t="s">
        <v>207</v>
      </c>
      <c r="E102" s="4" t="str">
        <f>HYPERLINK("http://dx.doi.org/10.1007/s10113-021-01859-y","http://dx.doi.org/10.1007/s10113-021-01859-y")</f>
        <v>http://dx.doi.org/10.1007/s10113-021-01859-y</v>
      </c>
    </row>
    <row r="103" spans="1:5" x14ac:dyDescent="0.3">
      <c r="A103" s="3">
        <v>102</v>
      </c>
      <c r="B103" s="4" t="s">
        <v>96</v>
      </c>
      <c r="C103" s="4" t="s">
        <v>264</v>
      </c>
      <c r="D103" s="4" t="s">
        <v>265</v>
      </c>
      <c r="E103" s="4" t="str">
        <f>HYPERLINK("http://dx.doi.org/10.1016/j.geoforum.2020.04.019","http://dx.doi.org/10.1016/j.geoforum.2020.04.019")</f>
        <v>http://dx.doi.org/10.1016/j.geoforum.2020.04.019</v>
      </c>
    </row>
    <row r="104" spans="1:5" x14ac:dyDescent="0.3">
      <c r="A104" s="3">
        <v>103</v>
      </c>
      <c r="B104" s="4" t="s">
        <v>266</v>
      </c>
      <c r="C104" s="4" t="s">
        <v>267</v>
      </c>
      <c r="D104" s="4" t="s">
        <v>141</v>
      </c>
      <c r="E104" s="4" t="str">
        <f>HYPERLINK("http://dx.doi.org/10.1016/j.envdev.2023.100942","http://dx.doi.org/10.1016/j.envdev.2023.100942")</f>
        <v>http://dx.doi.org/10.1016/j.envdev.2023.100942</v>
      </c>
    </row>
    <row r="105" spans="1:5" x14ac:dyDescent="0.3">
      <c r="A105" s="3">
        <v>104</v>
      </c>
      <c r="B105" s="4" t="s">
        <v>268</v>
      </c>
      <c r="C105" s="4" t="s">
        <v>269</v>
      </c>
      <c r="D105" s="4" t="s">
        <v>270</v>
      </c>
      <c r="E105" s="4" t="str">
        <f>HYPERLINK("http://dx.doi.org/10.1057/s41599-022-01266-6","http://dx.doi.org/10.1057/s41599-022-01266-6")</f>
        <v>http://dx.doi.org/10.1057/s41599-022-01266-6</v>
      </c>
    </row>
    <row r="106" spans="1:5" x14ac:dyDescent="0.3">
      <c r="A106" s="3">
        <v>105</v>
      </c>
      <c r="B106" s="4" t="s">
        <v>271</v>
      </c>
      <c r="C106" s="4" t="s">
        <v>272</v>
      </c>
      <c r="D106" s="4" t="s">
        <v>273</v>
      </c>
      <c r="E106" s="4" t="str">
        <f>HYPERLINK("http://dx.doi.org/10.1098/rstb.2021.0129","http://dx.doi.org/10.1098/rstb.2021.0129")</f>
        <v>http://dx.doi.org/10.1098/rstb.2021.0129</v>
      </c>
    </row>
    <row r="107" spans="1:5" x14ac:dyDescent="0.3">
      <c r="A107" s="3">
        <v>106</v>
      </c>
      <c r="B107" s="4" t="s">
        <v>274</v>
      </c>
      <c r="C107" s="4" t="s">
        <v>275</v>
      </c>
      <c r="D107" s="4" t="s">
        <v>276</v>
      </c>
      <c r="E107" s="4" t="str">
        <f>HYPERLINK("http://dx.doi.org/10.1146/annurev-environ-102017-025739","http://dx.doi.org/10.1146/annurev-environ-102017-025739")</f>
        <v>http://dx.doi.org/10.1146/annurev-environ-102017-025739</v>
      </c>
    </row>
    <row r="108" spans="1:5" x14ac:dyDescent="0.3">
      <c r="A108" s="3">
        <v>107</v>
      </c>
      <c r="B108" s="4" t="s">
        <v>277</v>
      </c>
      <c r="C108" s="4" t="s">
        <v>278</v>
      </c>
      <c r="D108" s="4" t="s">
        <v>23</v>
      </c>
      <c r="E108" s="4" t="str">
        <f>HYPERLINK("http://dx.doi.org/10.1016/j.uclim.2019.100577","http://dx.doi.org/10.1016/j.uclim.2019.100577")</f>
        <v>http://dx.doi.org/10.1016/j.uclim.2019.100577</v>
      </c>
    </row>
    <row r="109" spans="1:5" x14ac:dyDescent="0.3">
      <c r="A109" s="3">
        <v>108</v>
      </c>
      <c r="B109" s="4" t="s">
        <v>279</v>
      </c>
      <c r="C109" s="4" t="s">
        <v>280</v>
      </c>
      <c r="D109" s="4" t="s">
        <v>40</v>
      </c>
      <c r="E109" s="4" t="str">
        <f>HYPERLINK("http://dx.doi.org/10.3390/su15021598","http://dx.doi.org/10.3390/su15021598")</f>
        <v>http://dx.doi.org/10.3390/su15021598</v>
      </c>
    </row>
    <row r="110" spans="1:5" x14ac:dyDescent="0.3">
      <c r="A110" s="3">
        <v>109</v>
      </c>
      <c r="B110" s="4" t="s">
        <v>281</v>
      </c>
      <c r="C110" s="4" t="s">
        <v>282</v>
      </c>
      <c r="D110" s="4" t="s">
        <v>210</v>
      </c>
      <c r="E110" s="4" t="str">
        <f>HYPERLINK("http://dx.doi.org/10.1177/2514848619846087","http://dx.doi.org/10.1177/2514848619846087")</f>
        <v>http://dx.doi.org/10.1177/2514848619846087</v>
      </c>
    </row>
    <row r="111" spans="1:5" x14ac:dyDescent="0.3">
      <c r="A111" s="3">
        <v>110</v>
      </c>
      <c r="B111" s="4" t="s">
        <v>283</v>
      </c>
      <c r="C111" s="4" t="s">
        <v>284</v>
      </c>
      <c r="D111" s="4" t="s">
        <v>285</v>
      </c>
      <c r="E111" s="4" t="str">
        <f>HYPERLINK("http://dx.doi.org/10.1016/j.crm.2018.12.003","http://dx.doi.org/10.1016/j.crm.2018.12.003")</f>
        <v>http://dx.doi.org/10.1016/j.crm.2018.12.003</v>
      </c>
    </row>
    <row r="112" spans="1:5" x14ac:dyDescent="0.3">
      <c r="A112" s="3">
        <v>111</v>
      </c>
      <c r="B112" s="4" t="s">
        <v>286</v>
      </c>
      <c r="C112" s="4" t="s">
        <v>287</v>
      </c>
      <c r="D112" s="4" t="s">
        <v>9</v>
      </c>
      <c r="E112" s="4" t="str">
        <f>HYPERLINK("http://dx.doi.org/10.1016/j.gloenvcha.2024.102885","http://dx.doi.org/10.1016/j.gloenvcha.2024.102885")</f>
        <v>http://dx.doi.org/10.1016/j.gloenvcha.2024.102885</v>
      </c>
    </row>
    <row r="113" spans="1:5" x14ac:dyDescent="0.3">
      <c r="A113" s="3">
        <v>112</v>
      </c>
      <c r="B113" s="4" t="s">
        <v>288</v>
      </c>
      <c r="C113" s="4" t="s">
        <v>289</v>
      </c>
      <c r="D113" s="4" t="s">
        <v>290</v>
      </c>
      <c r="E113" s="4" t="str">
        <f>HYPERLINK("http://dx.doi.org/10.1504/IJGW.2022.123282","http://dx.doi.org/10.1504/IJGW.2022.123282")</f>
        <v>http://dx.doi.org/10.1504/IJGW.2022.123282</v>
      </c>
    </row>
    <row r="114" spans="1:5" x14ac:dyDescent="0.3">
      <c r="A114" s="3">
        <v>113</v>
      </c>
      <c r="B114" s="4" t="s">
        <v>291</v>
      </c>
      <c r="C114" s="4" t="s">
        <v>292</v>
      </c>
      <c r="D114" s="4" t="s">
        <v>113</v>
      </c>
      <c r="E114" s="4" t="str">
        <f>HYPERLINK("http://dx.doi.org/10.1016/j.cliser.2021.100252","http://dx.doi.org/10.1016/j.cliser.2021.100252")</f>
        <v>http://dx.doi.org/10.1016/j.cliser.2021.100252</v>
      </c>
    </row>
    <row r="115" spans="1:5" x14ac:dyDescent="0.3">
      <c r="A115" s="3">
        <v>114</v>
      </c>
      <c r="B115" s="4" t="s">
        <v>293</v>
      </c>
      <c r="C115" s="4" t="s">
        <v>294</v>
      </c>
      <c r="D115" s="4" t="s">
        <v>285</v>
      </c>
      <c r="E115" s="4" t="str">
        <f>HYPERLINK("http://dx.doi.org/10.1016/j.crm.2022.100432","http://dx.doi.org/10.1016/j.crm.2022.100432")</f>
        <v>http://dx.doi.org/10.1016/j.crm.2022.100432</v>
      </c>
    </row>
    <row r="116" spans="1:5" x14ac:dyDescent="0.3">
      <c r="A116" s="3">
        <v>115</v>
      </c>
      <c r="B116" s="4" t="s">
        <v>295</v>
      </c>
      <c r="C116" s="4" t="s">
        <v>296</v>
      </c>
      <c r="D116" s="4" t="s">
        <v>61</v>
      </c>
      <c r="E116" s="4" t="str">
        <f>HYPERLINK("http://dx.doi.org/10.1080/17565529.2021.1984866","http://dx.doi.org/10.1080/17565529.2021.1984866")</f>
        <v>http://dx.doi.org/10.1080/17565529.2021.1984866</v>
      </c>
    </row>
    <row r="117" spans="1:5" x14ac:dyDescent="0.3">
      <c r="A117" s="3">
        <v>116</v>
      </c>
      <c r="B117" s="4" t="s">
        <v>297</v>
      </c>
      <c r="C117" s="4" t="s">
        <v>298</v>
      </c>
      <c r="D117" s="4" t="s">
        <v>285</v>
      </c>
      <c r="E117" s="4" t="str">
        <f>HYPERLINK("http://dx.doi.org/10.1016/j.crm.2021.100326","http://dx.doi.org/10.1016/j.crm.2021.100326")</f>
        <v>http://dx.doi.org/10.1016/j.crm.2021.100326</v>
      </c>
    </row>
    <row r="118" spans="1:5" x14ac:dyDescent="0.3">
      <c r="A118" s="3">
        <v>117</v>
      </c>
      <c r="B118" s="4" t="s">
        <v>299</v>
      </c>
      <c r="C118" s="4" t="s">
        <v>300</v>
      </c>
      <c r="D118" s="4" t="s">
        <v>61</v>
      </c>
      <c r="E118" s="4" t="str">
        <f>HYPERLINK("http://dx.doi.org/10.1080/17565529.2014.953902","http://dx.doi.org/10.1080/17565529.2014.953902")</f>
        <v>http://dx.doi.org/10.1080/17565529.2014.953902</v>
      </c>
    </row>
    <row r="119" spans="1:5" x14ac:dyDescent="0.3">
      <c r="A119" s="3">
        <v>118</v>
      </c>
      <c r="B119" s="4" t="s">
        <v>301</v>
      </c>
      <c r="C119" s="4" t="s">
        <v>302</v>
      </c>
      <c r="D119" s="4" t="s">
        <v>303</v>
      </c>
      <c r="E119" s="4" t="str">
        <f>HYPERLINK("http://dx.doi.org/10.1080/0376835X.2023.2254801","http://dx.doi.org/10.1080/0376835X.2023.2254801")</f>
        <v>http://dx.doi.org/10.1080/0376835X.2023.2254801</v>
      </c>
    </row>
    <row r="120" spans="1:5" x14ac:dyDescent="0.3">
      <c r="A120" s="3">
        <v>119</v>
      </c>
      <c r="B120" s="4" t="s">
        <v>304</v>
      </c>
      <c r="C120" s="4" t="s">
        <v>305</v>
      </c>
      <c r="D120" s="4" t="s">
        <v>20</v>
      </c>
      <c r="E120" s="4" t="str">
        <f>HYPERLINK("http://dx.doi.org/10.1088/1748-9326/ad58f9","http://dx.doi.org/10.1088/1748-9326/ad58f9")</f>
        <v>http://dx.doi.org/10.1088/1748-9326/ad58f9</v>
      </c>
    </row>
    <row r="121" spans="1:5" x14ac:dyDescent="0.3">
      <c r="A121" s="3">
        <v>120</v>
      </c>
      <c r="B121" s="4" t="s">
        <v>306</v>
      </c>
      <c r="C121" s="4" t="s">
        <v>307</v>
      </c>
      <c r="D121" s="4" t="s">
        <v>308</v>
      </c>
      <c r="E121" s="4" t="str">
        <f>HYPERLINK("http://dx.doi.org/10.1057/s41268-024-00333-6","http://dx.doi.org/10.1057/s41268-024-00333-6")</f>
        <v>http://dx.doi.org/10.1057/s41268-024-00333-6</v>
      </c>
    </row>
    <row r="122" spans="1:5" x14ac:dyDescent="0.3">
      <c r="A122" s="3">
        <v>121</v>
      </c>
      <c r="B122" s="4" t="s">
        <v>309</v>
      </c>
      <c r="C122" s="4" t="s">
        <v>310</v>
      </c>
      <c r="D122" s="4" t="s">
        <v>311</v>
      </c>
      <c r="E122" s="4" t="str">
        <f>HYPERLINK("http://dx.doi.org/10.1068/a45311","http://dx.doi.org/10.1068/a45311")</f>
        <v>http://dx.doi.org/10.1068/a45311</v>
      </c>
    </row>
    <row r="123" spans="1:5" x14ac:dyDescent="0.3">
      <c r="A123" s="3">
        <v>122</v>
      </c>
      <c r="B123" s="4" t="s">
        <v>312</v>
      </c>
      <c r="C123" s="4" t="s">
        <v>313</v>
      </c>
      <c r="D123" s="4" t="s">
        <v>40</v>
      </c>
      <c r="E123" s="4" t="str">
        <f>HYPERLINK("http://dx.doi.org/10.3390/su132313072","http://dx.doi.org/10.3390/su132313072")</f>
        <v>http://dx.doi.org/10.3390/su132313072</v>
      </c>
    </row>
    <row r="124" spans="1:5" x14ac:dyDescent="0.3">
      <c r="A124" s="3">
        <v>123</v>
      </c>
      <c r="B124" s="4" t="s">
        <v>314</v>
      </c>
      <c r="C124" s="4" t="s">
        <v>315</v>
      </c>
      <c r="D124" s="4" t="s">
        <v>56</v>
      </c>
      <c r="E124" s="4" t="str">
        <f>HYPERLINK("http://dx.doi.org/10.1080/07352166.2022.2160339","http://dx.doi.org/10.1080/07352166.2022.2160339")</f>
        <v>http://dx.doi.org/10.1080/07352166.2022.2160339</v>
      </c>
    </row>
    <row r="125" spans="1:5" x14ac:dyDescent="0.3">
      <c r="A125" s="3">
        <v>124</v>
      </c>
      <c r="B125" s="4" t="s">
        <v>316</v>
      </c>
      <c r="C125" s="4" t="s">
        <v>317</v>
      </c>
      <c r="D125" s="4" t="s">
        <v>285</v>
      </c>
      <c r="E125" s="4" t="str">
        <f>HYPERLINK("http://dx.doi.org/10.1016/j.crm.2017.11.003","http://dx.doi.org/10.1016/j.crm.2017.11.003")</f>
        <v>http://dx.doi.org/10.1016/j.crm.2017.11.003</v>
      </c>
    </row>
    <row r="126" spans="1:5" x14ac:dyDescent="0.3">
      <c r="A126" s="3">
        <v>125</v>
      </c>
      <c r="B126" s="4" t="s">
        <v>318</v>
      </c>
      <c r="C126" s="4" t="s">
        <v>319</v>
      </c>
      <c r="D126" s="4" t="s">
        <v>40</v>
      </c>
      <c r="E126" s="4" t="str">
        <f>HYPERLINK("http://dx.doi.org/10.3390/su132212648","http://dx.doi.org/10.3390/su132212648")</f>
        <v>http://dx.doi.org/10.3390/su132212648</v>
      </c>
    </row>
    <row r="127" spans="1:5" x14ac:dyDescent="0.3">
      <c r="A127" s="3">
        <v>126</v>
      </c>
      <c r="B127" s="4" t="s">
        <v>320</v>
      </c>
      <c r="C127" s="4" t="s">
        <v>321</v>
      </c>
      <c r="D127" s="4" t="s">
        <v>15</v>
      </c>
      <c r="E127" s="4" t="str">
        <f>HYPERLINK("http://dx.doi.org/10.1080/13549839.2018.1505836","http://dx.doi.org/10.1080/13549839.2018.1505836")</f>
        <v>http://dx.doi.org/10.1080/13549839.2018.1505836</v>
      </c>
    </row>
    <row r="128" spans="1:5" x14ac:dyDescent="0.3">
      <c r="A128" s="3">
        <v>127</v>
      </c>
      <c r="B128" s="4" t="s">
        <v>322</v>
      </c>
      <c r="C128" s="4" t="s">
        <v>323</v>
      </c>
      <c r="D128" s="4" t="s">
        <v>61</v>
      </c>
      <c r="E128" s="4" t="str">
        <f>HYPERLINK("http://dx.doi.org/10.1080/17565529.2013.812953","http://dx.doi.org/10.1080/17565529.2013.812953")</f>
        <v>http://dx.doi.org/10.1080/17565529.2013.812953</v>
      </c>
    </row>
    <row r="129" spans="1:5" x14ac:dyDescent="0.3">
      <c r="A129" s="3">
        <v>128</v>
      </c>
      <c r="B129" s="4" t="s">
        <v>324</v>
      </c>
      <c r="C129" s="4" t="s">
        <v>325</v>
      </c>
      <c r="D129" s="4" t="s">
        <v>326</v>
      </c>
      <c r="E129" s="4" t="str">
        <f>HYPERLINK("http://dx.doi.org/10.1016/j.erss.2024.103585","http://dx.doi.org/10.1016/j.erss.2024.103585")</f>
        <v>http://dx.doi.org/10.1016/j.erss.2024.103585</v>
      </c>
    </row>
    <row r="130" spans="1:5" x14ac:dyDescent="0.3">
      <c r="A130" s="3">
        <v>129</v>
      </c>
      <c r="B130" s="4" t="s">
        <v>327</v>
      </c>
      <c r="C130" s="4" t="s">
        <v>328</v>
      </c>
      <c r="D130" s="4" t="s">
        <v>34</v>
      </c>
      <c r="E130" s="4" t="str">
        <f>HYPERLINK("http://dx.doi.org/10.1016/j.landurbplan.2024.105197","http://dx.doi.org/10.1016/j.landurbplan.2024.105197")</f>
        <v>http://dx.doi.org/10.1016/j.landurbplan.2024.105197</v>
      </c>
    </row>
    <row r="131" spans="1:5" x14ac:dyDescent="0.3">
      <c r="A131" s="3">
        <v>130</v>
      </c>
      <c r="B131" s="4" t="s">
        <v>329</v>
      </c>
      <c r="C131" s="4" t="s">
        <v>330</v>
      </c>
      <c r="D131" s="4" t="s">
        <v>207</v>
      </c>
      <c r="E131" s="4" t="str">
        <f>HYPERLINK("http://dx.doi.org/10.1007/s10113-019-01468-w","http://dx.doi.org/10.1007/s10113-019-01468-w")</f>
        <v>http://dx.doi.org/10.1007/s10113-019-01468-w</v>
      </c>
    </row>
    <row r="132" spans="1:5" x14ac:dyDescent="0.3">
      <c r="A132" s="3">
        <v>131</v>
      </c>
      <c r="B132" s="4" t="s">
        <v>331</v>
      </c>
      <c r="C132" s="4" t="s">
        <v>332</v>
      </c>
      <c r="D132" s="4" t="s">
        <v>61</v>
      </c>
      <c r="E132" s="4" t="str">
        <f>HYPERLINK("http://dx.doi.org/10.1080/17565529.2022.2123698","http://dx.doi.org/10.1080/17565529.2022.2123698")</f>
        <v>http://dx.doi.org/10.1080/17565529.2022.2123698</v>
      </c>
    </row>
    <row r="133" spans="1:5" x14ac:dyDescent="0.3">
      <c r="A133" s="3">
        <v>132</v>
      </c>
      <c r="B133" s="4" t="s">
        <v>333</v>
      </c>
      <c r="C133" s="4" t="s">
        <v>334</v>
      </c>
      <c r="D133" s="4" t="s">
        <v>335</v>
      </c>
      <c r="E133" s="4" t="str">
        <f>HYPERLINK("http://dx.doi.org/10.1007/s11069-024-06940-3","http://dx.doi.org/10.1007/s11069-024-06940-3")</f>
        <v>http://dx.doi.org/10.1007/s11069-024-06940-3</v>
      </c>
    </row>
    <row r="134" spans="1:5" x14ac:dyDescent="0.3">
      <c r="A134" s="3">
        <v>133</v>
      </c>
      <c r="B134" s="4" t="s">
        <v>336</v>
      </c>
      <c r="C134" s="4" t="s">
        <v>337</v>
      </c>
      <c r="D134" s="4" t="s">
        <v>77</v>
      </c>
      <c r="E134" s="4" t="str">
        <f>HYPERLINK("http://dx.doi.org/10.1016/j.cities.2023.104627","http://dx.doi.org/10.1016/j.cities.2023.104627")</f>
        <v>http://dx.doi.org/10.1016/j.cities.2023.104627</v>
      </c>
    </row>
    <row r="135" spans="1:5" x14ac:dyDescent="0.3">
      <c r="A135" s="3">
        <v>134</v>
      </c>
      <c r="B135" s="4" t="s">
        <v>338</v>
      </c>
      <c r="C135" s="4" t="s">
        <v>339</v>
      </c>
      <c r="D135" s="4" t="s">
        <v>53</v>
      </c>
      <c r="E135" s="4" t="str">
        <f>HYPERLINK("http://dx.doi.org/10.1177/0739456X16645166","http://dx.doi.org/10.1177/0739456X16645166")</f>
        <v>http://dx.doi.org/10.1177/0739456X16645166</v>
      </c>
    </row>
    <row r="136" spans="1:5" x14ac:dyDescent="0.3">
      <c r="A136" s="3">
        <v>135</v>
      </c>
      <c r="B136" s="4" t="s">
        <v>340</v>
      </c>
      <c r="C136" s="4" t="s">
        <v>341</v>
      </c>
      <c r="D136" s="4" t="s">
        <v>342</v>
      </c>
      <c r="E136" s="4" t="str">
        <f>HYPERLINK("http://dx.doi.org/10.1016/j.oneear.2021.09.001","http://dx.doi.org/10.1016/j.oneear.2021.09.001")</f>
        <v>http://dx.doi.org/10.1016/j.oneear.2021.09.001</v>
      </c>
    </row>
    <row r="137" spans="1:5" x14ac:dyDescent="0.3">
      <c r="A137" s="3">
        <v>136</v>
      </c>
      <c r="B137" s="4" t="s">
        <v>343</v>
      </c>
      <c r="C137" s="4" t="s">
        <v>344</v>
      </c>
      <c r="D137" s="4" t="s">
        <v>61</v>
      </c>
      <c r="E137" s="4" t="str">
        <f>HYPERLINK("http://dx.doi.org/10.1080/17565529.2021.2018987","http://dx.doi.org/10.1080/17565529.2021.2018987")</f>
        <v>http://dx.doi.org/10.1080/17565529.2021.2018987</v>
      </c>
    </row>
    <row r="138" spans="1:5" x14ac:dyDescent="0.3">
      <c r="A138" s="3">
        <v>137</v>
      </c>
      <c r="B138" s="4" t="s">
        <v>345</v>
      </c>
      <c r="C138" s="4" t="s">
        <v>346</v>
      </c>
      <c r="D138" s="4" t="s">
        <v>40</v>
      </c>
      <c r="E138" s="4" t="str">
        <f>HYPERLINK("http://dx.doi.org/10.3390/su151713003","http://dx.doi.org/10.3390/su151713003")</f>
        <v>http://dx.doi.org/10.3390/su151713003</v>
      </c>
    </row>
    <row r="139" spans="1:5" x14ac:dyDescent="0.3">
      <c r="A139" s="3">
        <v>138</v>
      </c>
      <c r="B139" s="4" t="s">
        <v>347</v>
      </c>
      <c r="C139" s="4" t="s">
        <v>348</v>
      </c>
      <c r="D139" s="4" t="s">
        <v>119</v>
      </c>
      <c r="E139" s="4" t="str">
        <f>HYPERLINK("http://dx.doi.org/10.1016/j.cosust.2021.06.007","http://dx.doi.org/10.1016/j.cosust.2021.06.007")</f>
        <v>http://dx.doi.org/10.1016/j.cosust.2021.06.007</v>
      </c>
    </row>
    <row r="140" spans="1:5" x14ac:dyDescent="0.3">
      <c r="A140" s="3">
        <v>139</v>
      </c>
      <c r="B140" s="4" t="s">
        <v>349</v>
      </c>
      <c r="C140" s="4" t="s">
        <v>350</v>
      </c>
      <c r="D140" s="4" t="s">
        <v>29</v>
      </c>
      <c r="E140" s="4" t="str">
        <f>HYPERLINK("http://dx.doi.org/10.1016/j.envsci.2023.06.015","http://dx.doi.org/10.1016/j.envsci.2023.06.015")</f>
        <v>http://dx.doi.org/10.1016/j.envsci.2023.06.015</v>
      </c>
    </row>
    <row r="141" spans="1:5" x14ac:dyDescent="0.3">
      <c r="A141" s="3">
        <v>140</v>
      </c>
      <c r="B141" s="4" t="s">
        <v>351</v>
      </c>
      <c r="C141" s="4" t="s">
        <v>352</v>
      </c>
      <c r="D141" s="4" t="s">
        <v>98</v>
      </c>
      <c r="E141" s="4" t="str">
        <f>HYPERLINK("http://dx.doi.org/10.1016/j.landusepol.2020.104547","http://dx.doi.org/10.1016/j.landusepol.2020.104547")</f>
        <v>http://dx.doi.org/10.1016/j.landusepol.2020.104547</v>
      </c>
    </row>
    <row r="142" spans="1:5" x14ac:dyDescent="0.3">
      <c r="A142" s="3">
        <v>141</v>
      </c>
      <c r="B142" s="4" t="s">
        <v>353</v>
      </c>
      <c r="C142" s="4" t="s">
        <v>354</v>
      </c>
      <c r="D142" s="4" t="s">
        <v>67</v>
      </c>
      <c r="E142" s="4" t="str">
        <f>HYPERLINK("http://dx.doi.org/10.1016/j.worlddev.2022.106056","http://dx.doi.org/10.1016/j.worlddev.2022.106056")</f>
        <v>http://dx.doi.org/10.1016/j.worlddev.2022.106056</v>
      </c>
    </row>
    <row r="143" spans="1:5" x14ac:dyDescent="0.3">
      <c r="A143" s="3">
        <v>142</v>
      </c>
      <c r="B143" s="4" t="s">
        <v>355</v>
      </c>
      <c r="C143" s="4" t="s">
        <v>356</v>
      </c>
      <c r="D143" s="4" t="s">
        <v>103</v>
      </c>
      <c r="E143" s="4" t="str">
        <f>HYPERLINK("http://dx.doi.org/10.1007/s10784-015-9288-3","http://dx.doi.org/10.1007/s10784-015-9288-3")</f>
        <v>http://dx.doi.org/10.1007/s10784-015-9288-3</v>
      </c>
    </row>
    <row r="144" spans="1:5" x14ac:dyDescent="0.3">
      <c r="A144" s="3">
        <v>143</v>
      </c>
      <c r="B144" s="4" t="s">
        <v>357</v>
      </c>
      <c r="C144" s="4" t="s">
        <v>358</v>
      </c>
      <c r="D144" s="4" t="s">
        <v>61</v>
      </c>
      <c r="E144" s="4" t="str">
        <f>HYPERLINK("http://dx.doi.org/10.3763/cdev.2010.0037","http://dx.doi.org/10.3763/cdev.2010.0037")</f>
        <v>http://dx.doi.org/10.3763/cdev.2010.0037</v>
      </c>
    </row>
    <row r="145" spans="1:5" x14ac:dyDescent="0.3">
      <c r="A145" s="3">
        <v>144</v>
      </c>
      <c r="B145" s="4" t="s">
        <v>359</v>
      </c>
      <c r="C145" s="4" t="s">
        <v>360</v>
      </c>
      <c r="D145" s="4" t="s">
        <v>103</v>
      </c>
      <c r="E145" s="4" t="str">
        <f>HYPERLINK("http://dx.doi.org/10.1007/s10784-020-09477-5","http://dx.doi.org/10.1007/s10784-020-09477-5")</f>
        <v>http://dx.doi.org/10.1007/s10784-020-09477-5</v>
      </c>
    </row>
    <row r="146" spans="1:5" x14ac:dyDescent="0.3">
      <c r="A146" s="3">
        <v>145</v>
      </c>
      <c r="B146" s="4" t="s">
        <v>361</v>
      </c>
      <c r="C146" s="4" t="s">
        <v>362</v>
      </c>
      <c r="D146" s="4" t="s">
        <v>363</v>
      </c>
      <c r="E146" s="4" t="str">
        <f>HYPERLINK("http://dx.doi.org/10.1111/csp2.557","http://dx.doi.org/10.1111/csp2.557")</f>
        <v>http://dx.doi.org/10.1111/csp2.557</v>
      </c>
    </row>
    <row r="147" spans="1:5" x14ac:dyDescent="0.3">
      <c r="A147" s="3">
        <v>146</v>
      </c>
      <c r="B147" s="4" t="s">
        <v>364</v>
      </c>
      <c r="C147" s="4" t="s">
        <v>365</v>
      </c>
      <c r="D147" s="4" t="s">
        <v>366</v>
      </c>
      <c r="E147" s="4" t="str">
        <f>HYPERLINK("http://dx.doi.org/10.1093/eurpub/ckad218","http://dx.doi.org/10.1093/eurpub/ckad218")</f>
        <v>http://dx.doi.org/10.1093/eurpub/ckad218</v>
      </c>
    </row>
    <row r="148" spans="1:5" x14ac:dyDescent="0.3">
      <c r="A148" s="3">
        <v>147</v>
      </c>
      <c r="B148" s="4" t="s">
        <v>367</v>
      </c>
      <c r="C148" s="4" t="s">
        <v>368</v>
      </c>
      <c r="D148" s="4" t="s">
        <v>202</v>
      </c>
      <c r="E148" s="4" t="str">
        <f>HYPERLINK("http://dx.doi.org/10.1080/09640568.2018.1536604","http://dx.doi.org/10.1080/09640568.2018.1536604")</f>
        <v>http://dx.doi.org/10.1080/09640568.2018.1536604</v>
      </c>
    </row>
    <row r="149" spans="1:5" x14ac:dyDescent="0.3">
      <c r="A149" s="3">
        <v>148</v>
      </c>
      <c r="B149" s="4" t="s">
        <v>369</v>
      </c>
      <c r="C149" s="4" t="s">
        <v>370</v>
      </c>
      <c r="D149" s="4" t="s">
        <v>371</v>
      </c>
      <c r="E149" s="4" t="str">
        <f>HYPERLINK("http://dx.doi.org/10.1177/08854122231226279","http://dx.doi.org/10.1177/08854122231226279")</f>
        <v>http://dx.doi.org/10.1177/08854122231226279</v>
      </c>
    </row>
    <row r="150" spans="1:5" x14ac:dyDescent="0.3">
      <c r="A150" s="3">
        <v>149</v>
      </c>
      <c r="B150" s="4" t="s">
        <v>372</v>
      </c>
      <c r="C150" s="4" t="s">
        <v>373</v>
      </c>
      <c r="D150" s="4" t="s">
        <v>374</v>
      </c>
      <c r="E150" s="4" t="str">
        <f>HYPERLINK("http://dx.doi.org/10.1038/s41893-024-01380-0","http://dx.doi.org/10.1038/s41893-024-01380-0")</f>
        <v>http://dx.doi.org/10.1038/s41893-024-01380-0</v>
      </c>
    </row>
    <row r="151" spans="1:5" x14ac:dyDescent="0.3">
      <c r="A151" s="3">
        <v>150</v>
      </c>
      <c r="B151" s="4" t="s">
        <v>217</v>
      </c>
      <c r="C151" s="4" t="s">
        <v>375</v>
      </c>
      <c r="D151" s="4" t="s">
        <v>144</v>
      </c>
      <c r="E151" s="4" t="str">
        <f>HYPERLINK("http://dx.doi.org/10.1162/glep_a_00467","http://dx.doi.org/10.1162/glep_a_00467")</f>
        <v>http://dx.doi.org/10.1162/glep_a_00467</v>
      </c>
    </row>
    <row r="152" spans="1:5" x14ac:dyDescent="0.3">
      <c r="A152" s="3">
        <v>151</v>
      </c>
      <c r="B152" s="4" t="s">
        <v>376</v>
      </c>
      <c r="C152" s="4" t="s">
        <v>377</v>
      </c>
      <c r="D152" s="4" t="s">
        <v>378</v>
      </c>
      <c r="E152" s="4" t="str">
        <f>HYPERLINK("http://dx.doi.org/10.1111/disa.12627","http://dx.doi.org/10.1111/disa.12627")</f>
        <v>http://dx.doi.org/10.1111/disa.12627</v>
      </c>
    </row>
    <row r="153" spans="1:5" x14ac:dyDescent="0.3">
      <c r="A153" s="3">
        <v>152</v>
      </c>
      <c r="B153" s="4" t="s">
        <v>379</v>
      </c>
      <c r="C153" s="4" t="s">
        <v>380</v>
      </c>
      <c r="D153" s="4" t="s">
        <v>46</v>
      </c>
      <c r="E153" s="4" t="str">
        <f>HYPERLINK("http://dx.doi.org/10.1007/s10584-019-02391-z","http://dx.doi.org/10.1007/s10584-019-02391-z")</f>
        <v>http://dx.doi.org/10.1007/s10584-019-02391-z</v>
      </c>
    </row>
    <row r="154" spans="1:5" x14ac:dyDescent="0.3">
      <c r="A154" s="3">
        <v>153</v>
      </c>
      <c r="B154" s="4" t="s">
        <v>381</v>
      </c>
      <c r="C154" s="4" t="s">
        <v>382</v>
      </c>
      <c r="D154" s="4" t="s">
        <v>29</v>
      </c>
      <c r="E154" s="4" t="str">
        <f>HYPERLINK("http://dx.doi.org/10.1016/j.envsci.2022.08.022","http://dx.doi.org/10.1016/j.envsci.2022.08.022")</f>
        <v>http://dx.doi.org/10.1016/j.envsci.2022.08.022</v>
      </c>
    </row>
    <row r="155" spans="1:5" x14ac:dyDescent="0.3">
      <c r="A155" s="3">
        <v>154</v>
      </c>
      <c r="B155" s="4" t="s">
        <v>383</v>
      </c>
      <c r="C155" s="4" t="s">
        <v>384</v>
      </c>
      <c r="D155" s="4" t="s">
        <v>135</v>
      </c>
      <c r="E155" s="4" t="str">
        <f>HYPERLINK("http://dx.doi.org/10.1177/0956247818776532","http://dx.doi.org/10.1177/0956247818776532")</f>
        <v>http://dx.doi.org/10.1177/0956247818776532</v>
      </c>
    </row>
    <row r="156" spans="1:5" x14ac:dyDescent="0.3">
      <c r="A156" s="3">
        <v>155</v>
      </c>
      <c r="B156" s="4" t="s">
        <v>385</v>
      </c>
      <c r="C156" s="4" t="s">
        <v>386</v>
      </c>
      <c r="D156" s="4" t="s">
        <v>46</v>
      </c>
      <c r="E156" s="4" t="str">
        <f>HYPERLINK("http://dx.doi.org/10.1007/s10584-021-03158-1","http://dx.doi.org/10.1007/s10584-021-03158-1")</f>
        <v>http://dx.doi.org/10.1007/s10584-021-03158-1</v>
      </c>
    </row>
    <row r="157" spans="1:5" x14ac:dyDescent="0.3">
      <c r="A157" s="3">
        <v>156</v>
      </c>
      <c r="B157" s="4" t="s">
        <v>387</v>
      </c>
      <c r="C157" s="4" t="s">
        <v>388</v>
      </c>
      <c r="D157" s="4" t="s">
        <v>389</v>
      </c>
      <c r="E157" s="4" t="str">
        <f>HYPERLINK("http://dx.doi.org/10.1016/j.jclepro.2012.02.025","http://dx.doi.org/10.1016/j.jclepro.2012.02.025")</f>
        <v>http://dx.doi.org/10.1016/j.jclepro.2012.02.025</v>
      </c>
    </row>
    <row r="158" spans="1:5" x14ac:dyDescent="0.3">
      <c r="A158" s="3">
        <v>157</v>
      </c>
      <c r="B158" s="4" t="s">
        <v>390</v>
      </c>
      <c r="C158" s="4" t="s">
        <v>391</v>
      </c>
      <c r="D158" s="4" t="s">
        <v>392</v>
      </c>
      <c r="E158" s="4" t="str">
        <f>HYPERLINK("http://dx.doi.org/10.1016/j.wre.2018.04.001","http://dx.doi.org/10.1016/j.wre.2018.04.001")</f>
        <v>http://dx.doi.org/10.1016/j.wre.2018.04.001</v>
      </c>
    </row>
    <row r="159" spans="1:5" x14ac:dyDescent="0.3">
      <c r="A159" s="3">
        <v>158</v>
      </c>
      <c r="B159" s="4" t="s">
        <v>393</v>
      </c>
      <c r="C159" s="4" t="s">
        <v>394</v>
      </c>
      <c r="D159" s="4" t="s">
        <v>395</v>
      </c>
      <c r="E159" s="4" t="str">
        <f>HYPERLINK("http://dx.doi.org/10.1111/geoj.12465","http://dx.doi.org/10.1111/geoj.12465")</f>
        <v>http://dx.doi.org/10.1111/geoj.12465</v>
      </c>
    </row>
    <row r="160" spans="1:5" x14ac:dyDescent="0.3">
      <c r="A160" s="3">
        <v>159</v>
      </c>
      <c r="B160" s="4" t="s">
        <v>396</v>
      </c>
      <c r="C160" s="4" t="s">
        <v>397</v>
      </c>
      <c r="D160" s="4" t="s">
        <v>163</v>
      </c>
      <c r="E160" s="4" t="str">
        <f>HYPERLINK("http://dx.doi.org/10.1175/WCAS-D-21-0024.1","http://dx.doi.org/10.1175/WCAS-D-21-0024.1")</f>
        <v>http://dx.doi.org/10.1175/WCAS-D-21-0024.1</v>
      </c>
    </row>
    <row r="161" spans="1:5" x14ac:dyDescent="0.3">
      <c r="A161" s="3">
        <v>160</v>
      </c>
      <c r="B161" s="4" t="s">
        <v>398</v>
      </c>
      <c r="C161" s="4" t="s">
        <v>399</v>
      </c>
      <c r="D161" s="4" t="s">
        <v>199</v>
      </c>
      <c r="E161" s="4" t="str">
        <f>HYPERLINK("http://dx.doi.org/10.1080/09644016.2017.1287624","http://dx.doi.org/10.1080/09644016.2017.1287624")</f>
        <v>http://dx.doi.org/10.1080/09644016.2017.1287624</v>
      </c>
    </row>
    <row r="162" spans="1:5" x14ac:dyDescent="0.3">
      <c r="A162" s="3">
        <v>161</v>
      </c>
      <c r="B162" s="4" t="s">
        <v>400</v>
      </c>
      <c r="C162" s="4" t="s">
        <v>401</v>
      </c>
      <c r="D162" s="4" t="s">
        <v>67</v>
      </c>
      <c r="E162" s="4" t="str">
        <f>HYPERLINK("http://dx.doi.org/10.1016/j.worlddev.2020.105383","http://dx.doi.org/10.1016/j.worlddev.2020.105383")</f>
        <v>http://dx.doi.org/10.1016/j.worlddev.2020.105383</v>
      </c>
    </row>
    <row r="163" spans="1:5" x14ac:dyDescent="0.3">
      <c r="A163" s="3">
        <v>162</v>
      </c>
      <c r="B163" s="4" t="s">
        <v>402</v>
      </c>
      <c r="C163" s="4" t="s">
        <v>403</v>
      </c>
      <c r="D163" s="4" t="s">
        <v>92</v>
      </c>
      <c r="E163" s="4" t="str">
        <f>HYPERLINK("http://dx.doi.org/10.1108/IJCCSM-05-2023-0063","http://dx.doi.org/10.1108/IJCCSM-05-2023-0063")</f>
        <v>http://dx.doi.org/10.1108/IJCCSM-05-2023-0063</v>
      </c>
    </row>
    <row r="164" spans="1:5" x14ac:dyDescent="0.3">
      <c r="A164" s="3">
        <v>163</v>
      </c>
      <c r="B164" s="4" t="s">
        <v>404</v>
      </c>
      <c r="C164" s="4" t="s">
        <v>405</v>
      </c>
      <c r="D164" s="4" t="s">
        <v>12</v>
      </c>
      <c r="E164" s="4" t="str">
        <f>HYPERLINK("http://dx.doi.org/10.1038/NCLIMATE2841","http://dx.doi.org/10.1038/NCLIMATE2841")</f>
        <v>http://dx.doi.org/10.1038/NCLIMATE2841</v>
      </c>
    </row>
    <row r="165" spans="1:5" x14ac:dyDescent="0.3">
      <c r="A165" s="3">
        <v>164</v>
      </c>
      <c r="B165" s="4" t="s">
        <v>406</v>
      </c>
      <c r="C165" s="4" t="s">
        <v>407</v>
      </c>
      <c r="D165" s="4" t="s">
        <v>408</v>
      </c>
      <c r="E165" s="4" t="str">
        <f>HYPERLINK("http://dx.doi.org/10.1080/24694452.2023.2243316","http://dx.doi.org/10.1080/24694452.2023.2243316")</f>
        <v>http://dx.doi.org/10.1080/24694452.2023.2243316</v>
      </c>
    </row>
    <row r="166" spans="1:5" x14ac:dyDescent="0.3">
      <c r="A166" s="3">
        <v>165</v>
      </c>
      <c r="B166" s="4" t="s">
        <v>409</v>
      </c>
      <c r="C166" s="4" t="s">
        <v>410</v>
      </c>
      <c r="D166" s="4" t="s">
        <v>64</v>
      </c>
      <c r="E166" s="4" t="str">
        <f>HYPERLINK("http://dx.doi.org/10.1080/14693062.2013.879514","http://dx.doi.org/10.1080/14693062.2013.879514")</f>
        <v>http://dx.doi.org/10.1080/14693062.2013.879514</v>
      </c>
    </row>
    <row r="167" spans="1:5" x14ac:dyDescent="0.3">
      <c r="A167" s="3">
        <v>166</v>
      </c>
      <c r="B167" s="4" t="s">
        <v>411</v>
      </c>
      <c r="C167" s="4" t="s">
        <v>412</v>
      </c>
      <c r="D167" s="4" t="s">
        <v>147</v>
      </c>
      <c r="E167" s="4" t="str">
        <f>HYPERLINK("http://dx.doi.org/10.1017/S2047102524000074","http://dx.doi.org/10.1017/S2047102524000074")</f>
        <v>http://dx.doi.org/10.1017/S2047102524000074</v>
      </c>
    </row>
    <row r="168" spans="1:5" x14ac:dyDescent="0.3">
      <c r="A168" s="3">
        <v>167</v>
      </c>
      <c r="B168" s="4" t="s">
        <v>413</v>
      </c>
      <c r="C168" s="4" t="s">
        <v>414</v>
      </c>
      <c r="D168" s="4" t="s">
        <v>415</v>
      </c>
      <c r="E168" s="4" t="str">
        <f>HYPERLINK("http://dx.doi.org/10.1080/00323187.2021.2021803","http://dx.doi.org/10.1080/00323187.2021.2021803")</f>
        <v>http://dx.doi.org/10.1080/00323187.2021.2021803</v>
      </c>
    </row>
    <row r="169" spans="1:5" x14ac:dyDescent="0.3">
      <c r="A169" s="3">
        <v>168</v>
      </c>
      <c r="B169" s="4" t="s">
        <v>416</v>
      </c>
      <c r="C169" s="4" t="s">
        <v>417</v>
      </c>
      <c r="D169" s="4" t="s">
        <v>418</v>
      </c>
      <c r="E169" s="4" t="str">
        <f>HYPERLINK("http://dx.doi.org/10.1016/j.trd.2021.103099","http://dx.doi.org/10.1016/j.trd.2021.103099")</f>
        <v>http://dx.doi.org/10.1016/j.trd.2021.103099</v>
      </c>
    </row>
    <row r="170" spans="1:5" x14ac:dyDescent="0.3">
      <c r="A170" s="3">
        <v>169</v>
      </c>
      <c r="B170" s="4" t="s">
        <v>419</v>
      </c>
      <c r="C170" s="4" t="s">
        <v>420</v>
      </c>
      <c r="D170" s="4" t="s">
        <v>421</v>
      </c>
      <c r="E170" s="4" t="str">
        <f>HYPERLINK("http://dx.doi.org/10.1016/j.biocon.2023.110374","http://dx.doi.org/10.1016/j.biocon.2023.110374")</f>
        <v>http://dx.doi.org/10.1016/j.biocon.2023.110374</v>
      </c>
    </row>
    <row r="171" spans="1:5" x14ac:dyDescent="0.3">
      <c r="A171" s="3">
        <v>170</v>
      </c>
      <c r="B171" s="4" t="s">
        <v>422</v>
      </c>
      <c r="C171" s="4" t="s">
        <v>423</v>
      </c>
      <c r="D171" s="4" t="s">
        <v>265</v>
      </c>
      <c r="E171" s="4" t="str">
        <f>HYPERLINK("http://dx.doi.org/10.1016/j.geoforum.2015.07.026","http://dx.doi.org/10.1016/j.geoforum.2015.07.026")</f>
        <v>http://dx.doi.org/10.1016/j.geoforum.2015.07.026</v>
      </c>
    </row>
    <row r="172" spans="1:5" x14ac:dyDescent="0.3">
      <c r="A172" s="3">
        <v>171</v>
      </c>
      <c r="B172" s="4" t="s">
        <v>424</v>
      </c>
      <c r="C172" s="4" t="s">
        <v>425</v>
      </c>
      <c r="D172" s="4" t="s">
        <v>67</v>
      </c>
      <c r="E172" s="4" t="str">
        <f>HYPERLINK("http://dx.doi.org/10.1016/j.worlddev.2018.02.035","http://dx.doi.org/10.1016/j.worlddev.2018.02.035")</f>
        <v>http://dx.doi.org/10.1016/j.worlddev.2018.02.035</v>
      </c>
    </row>
    <row r="173" spans="1:5" x14ac:dyDescent="0.3">
      <c r="A173" s="3">
        <v>172</v>
      </c>
      <c r="B173" s="4" t="s">
        <v>426</v>
      </c>
      <c r="C173" s="4" t="s">
        <v>427</v>
      </c>
      <c r="D173" s="4" t="s">
        <v>285</v>
      </c>
      <c r="E173" s="4" t="str">
        <f>HYPERLINK("http://dx.doi.org/10.1016/j.crm.2023.100577","http://dx.doi.org/10.1016/j.crm.2023.100577")</f>
        <v>http://dx.doi.org/10.1016/j.crm.2023.100577</v>
      </c>
    </row>
    <row r="174" spans="1:5" x14ac:dyDescent="0.3">
      <c r="A174" s="3">
        <v>173</v>
      </c>
      <c r="B174" s="4" t="s">
        <v>428</v>
      </c>
      <c r="C174" s="4" t="s">
        <v>429</v>
      </c>
      <c r="D174" s="4" t="s">
        <v>430</v>
      </c>
      <c r="E174" s="4" t="str">
        <f>HYPERLINK("http://dx.doi.org/10.1146/annurev-environ-112320-095719","http://dx.doi.org/10.1146/annurev-environ-112320-095719")</f>
        <v>http://dx.doi.org/10.1146/annurev-environ-112320-095719</v>
      </c>
    </row>
    <row r="175" spans="1:5" x14ac:dyDescent="0.3">
      <c r="A175" s="3">
        <v>174</v>
      </c>
      <c r="B175" s="4" t="s">
        <v>431</v>
      </c>
      <c r="C175" s="4" t="s">
        <v>432</v>
      </c>
      <c r="D175" s="4" t="s">
        <v>64</v>
      </c>
      <c r="E175" s="4" t="str">
        <f>HYPERLINK("http://dx.doi.org/10.1080/14693062.2023.2242313","http://dx.doi.org/10.1080/14693062.2023.2242313")</f>
        <v>http://dx.doi.org/10.1080/14693062.2023.2242313</v>
      </c>
    </row>
    <row r="176" spans="1:5" x14ac:dyDescent="0.3">
      <c r="A176" s="3">
        <v>175</v>
      </c>
      <c r="B176" s="4" t="s">
        <v>433</v>
      </c>
      <c r="C176" s="4" t="s">
        <v>434</v>
      </c>
      <c r="D176" s="4" t="s">
        <v>64</v>
      </c>
      <c r="E176" s="4" t="str">
        <f>HYPERLINK("http://dx.doi.org/10.1080/14693062.2021.2008294","http://dx.doi.org/10.1080/14693062.2021.2008294")</f>
        <v>http://dx.doi.org/10.1080/14693062.2021.2008294</v>
      </c>
    </row>
    <row r="177" spans="1:5" x14ac:dyDescent="0.3">
      <c r="A177" s="3">
        <v>176</v>
      </c>
      <c r="B177" s="4" t="s">
        <v>435</v>
      </c>
      <c r="C177" s="4" t="s">
        <v>436</v>
      </c>
      <c r="D177" s="4" t="s">
        <v>155</v>
      </c>
      <c r="E177" s="4" t="str">
        <f>HYPERLINK("http://dx.doi.org/10.5751/ES-14142-280221","http://dx.doi.org/10.5751/ES-14142-280221")</f>
        <v>http://dx.doi.org/10.5751/ES-14142-280221</v>
      </c>
    </row>
    <row r="178" spans="1:5" x14ac:dyDescent="0.3">
      <c r="A178" s="3">
        <v>177</v>
      </c>
      <c r="B178" s="4" t="s">
        <v>437</v>
      </c>
      <c r="C178" s="4" t="s">
        <v>438</v>
      </c>
      <c r="D178" s="4" t="s">
        <v>439</v>
      </c>
      <c r="E178" s="4" t="str">
        <f>HYPERLINK("http://dx.doi.org/10.1186/1744-8603-8-10","http://dx.doi.org/10.1186/1744-8603-8-10")</f>
        <v>http://dx.doi.org/10.1186/1744-8603-8-10</v>
      </c>
    </row>
    <row r="179" spans="1:5" x14ac:dyDescent="0.3">
      <c r="A179" s="3">
        <v>178</v>
      </c>
      <c r="B179" s="4" t="s">
        <v>440</v>
      </c>
      <c r="C179" s="4" t="s">
        <v>441</v>
      </c>
      <c r="D179" s="4" t="s">
        <v>40</v>
      </c>
      <c r="E179" s="4" t="str">
        <f>HYPERLINK("http://dx.doi.org/10.3390/su14137634","http://dx.doi.org/10.3390/su14137634")</f>
        <v>http://dx.doi.org/10.3390/su14137634</v>
      </c>
    </row>
    <row r="180" spans="1:5" x14ac:dyDescent="0.3">
      <c r="A180" s="3">
        <v>179</v>
      </c>
      <c r="B180" s="4" t="s">
        <v>442</v>
      </c>
      <c r="C180" s="4" t="s">
        <v>443</v>
      </c>
      <c r="D180" s="4" t="s">
        <v>444</v>
      </c>
      <c r="E180" s="4" t="str">
        <f>HYPERLINK("http://dx.doi.org/10.3390/w9020129","http://dx.doi.org/10.3390/w9020129")</f>
        <v>http://dx.doi.org/10.3390/w9020129</v>
      </c>
    </row>
    <row r="181" spans="1:5" x14ac:dyDescent="0.3">
      <c r="A181" s="3">
        <v>180</v>
      </c>
      <c r="B181" s="4" t="s">
        <v>445</v>
      </c>
      <c r="C181" s="4" t="s">
        <v>446</v>
      </c>
      <c r="D181" s="4" t="s">
        <v>285</v>
      </c>
      <c r="E181" s="4" t="str">
        <f>HYPERLINK("http://dx.doi.org/10.1016/j.crm.2022.100426","http://dx.doi.org/10.1016/j.crm.2022.100426")</f>
        <v>http://dx.doi.org/10.1016/j.crm.2022.100426</v>
      </c>
    </row>
    <row r="182" spans="1:5" x14ac:dyDescent="0.3">
      <c r="A182" s="3">
        <v>181</v>
      </c>
      <c r="B182" s="4" t="s">
        <v>447</v>
      </c>
      <c r="C182" s="4" t="s">
        <v>448</v>
      </c>
      <c r="D182" s="4" t="s">
        <v>29</v>
      </c>
      <c r="E182" s="4" t="str">
        <f>HYPERLINK("http://dx.doi.org/10.1016/j.envsci.2022.07.014","http://dx.doi.org/10.1016/j.envsci.2022.07.014")</f>
        <v>http://dx.doi.org/10.1016/j.envsci.2022.07.014</v>
      </c>
    </row>
    <row r="183" spans="1:5" x14ac:dyDescent="0.3">
      <c r="A183" s="3">
        <v>182</v>
      </c>
      <c r="B183" s="4" t="s">
        <v>449</v>
      </c>
      <c r="C183" s="4" t="s">
        <v>450</v>
      </c>
      <c r="D183" s="4" t="s">
        <v>265</v>
      </c>
      <c r="E183" s="4" t="str">
        <f>HYPERLINK("http://dx.doi.org/10.1016/j.geoforum.2020.04.020","http://dx.doi.org/10.1016/j.geoforum.2020.04.020")</f>
        <v>http://dx.doi.org/10.1016/j.geoforum.2020.04.020</v>
      </c>
    </row>
    <row r="184" spans="1:5" x14ac:dyDescent="0.3">
      <c r="A184" s="3">
        <v>183</v>
      </c>
      <c r="B184" s="4" t="s">
        <v>451</v>
      </c>
      <c r="C184" s="4" t="s">
        <v>452</v>
      </c>
      <c r="D184" s="4" t="s">
        <v>155</v>
      </c>
      <c r="E184" s="4" t="str">
        <f>HYPERLINK("http://dx.doi.org/10.5751/ES-14399-280406","http://dx.doi.org/10.5751/ES-14399-280406")</f>
        <v>http://dx.doi.org/10.5751/ES-14399-280406</v>
      </c>
    </row>
    <row r="185" spans="1:5" x14ac:dyDescent="0.3">
      <c r="A185" s="3">
        <v>184</v>
      </c>
      <c r="B185" s="4" t="s">
        <v>453</v>
      </c>
      <c r="C185" s="4" t="s">
        <v>454</v>
      </c>
      <c r="D185" s="4" t="s">
        <v>77</v>
      </c>
      <c r="E185" s="4" t="str">
        <f>HYPERLINK("http://dx.doi.org/10.1016/j.cities.2024.105349","http://dx.doi.org/10.1016/j.cities.2024.105349")</f>
        <v>http://dx.doi.org/10.1016/j.cities.2024.105349</v>
      </c>
    </row>
    <row r="186" spans="1:5" x14ac:dyDescent="0.3">
      <c r="A186" s="3">
        <v>185</v>
      </c>
      <c r="B186" s="4" t="s">
        <v>455</v>
      </c>
      <c r="C186" s="4" t="s">
        <v>456</v>
      </c>
      <c r="D186" s="4" t="s">
        <v>457</v>
      </c>
      <c r="E186" s="4" t="str">
        <f>HYPERLINK("http://dx.doi.org/10.3389/fmars.2021.652955","http://dx.doi.org/10.3389/fmars.2021.652955")</f>
        <v>http://dx.doi.org/10.3389/fmars.2021.652955</v>
      </c>
    </row>
    <row r="187" spans="1:5" x14ac:dyDescent="0.3">
      <c r="A187" s="3">
        <v>186</v>
      </c>
      <c r="B187" s="4" t="s">
        <v>458</v>
      </c>
      <c r="C187" s="4" t="s">
        <v>459</v>
      </c>
      <c r="D187" s="4" t="s">
        <v>207</v>
      </c>
      <c r="E187" s="4" t="str">
        <f>HYPERLINK("http://dx.doi.org/10.1007/s10113-024-02182-y","http://dx.doi.org/10.1007/s10113-024-02182-y")</f>
        <v>http://dx.doi.org/10.1007/s10113-024-02182-y</v>
      </c>
    </row>
    <row r="188" spans="1:5" x14ac:dyDescent="0.3">
      <c r="A188" s="3">
        <v>187</v>
      </c>
      <c r="B188" s="4" t="s">
        <v>460</v>
      </c>
      <c r="C188" s="4" t="s">
        <v>461</v>
      </c>
      <c r="D188" s="4" t="s">
        <v>9</v>
      </c>
      <c r="E188" s="4" t="str">
        <f>HYPERLINK("http://dx.doi.org/10.1016/j.gloenvcha.2024.102934","http://dx.doi.org/10.1016/j.gloenvcha.2024.102934")</f>
        <v>http://dx.doi.org/10.1016/j.gloenvcha.2024.102934</v>
      </c>
    </row>
    <row r="189" spans="1:5" x14ac:dyDescent="0.3">
      <c r="A189" s="3">
        <v>188</v>
      </c>
      <c r="B189" s="4" t="s">
        <v>462</v>
      </c>
      <c r="C189" s="4" t="s">
        <v>463</v>
      </c>
      <c r="D189" s="4" t="s">
        <v>265</v>
      </c>
      <c r="E189" s="4" t="str">
        <f>HYPERLINK("http://dx.doi.org/10.1016/j.geoforum.2019.07.020","http://dx.doi.org/10.1016/j.geoforum.2019.07.020")</f>
        <v>http://dx.doi.org/10.1016/j.geoforum.2019.07.020</v>
      </c>
    </row>
    <row r="190" spans="1:5" x14ac:dyDescent="0.3">
      <c r="A190" s="3">
        <v>189</v>
      </c>
      <c r="B190" s="4" t="s">
        <v>464</v>
      </c>
      <c r="C190" s="4" t="s">
        <v>465</v>
      </c>
      <c r="D190" s="4" t="s">
        <v>29</v>
      </c>
      <c r="E190" s="4" t="str">
        <f>HYPERLINK("http://dx.doi.org/10.1016/j.envsci.2021.10.021","http://dx.doi.org/10.1016/j.envsci.2021.10.021")</f>
        <v>http://dx.doi.org/10.1016/j.envsci.2021.10.021</v>
      </c>
    </row>
    <row r="191" spans="1:5" x14ac:dyDescent="0.3">
      <c r="A191" s="3">
        <v>190</v>
      </c>
      <c r="B191" s="4" t="s">
        <v>466</v>
      </c>
      <c r="C191" s="4" t="s">
        <v>467</v>
      </c>
      <c r="D191" s="4" t="s">
        <v>40</v>
      </c>
      <c r="E191" s="4" t="str">
        <f>HYPERLINK("http://dx.doi.org/10.3390/su14031433","http://dx.doi.org/10.3390/su14031433")</f>
        <v>http://dx.doi.org/10.3390/su14031433</v>
      </c>
    </row>
    <row r="192" spans="1:5" x14ac:dyDescent="0.3">
      <c r="A192" s="3">
        <v>191</v>
      </c>
      <c r="B192" s="4" t="s">
        <v>468</v>
      </c>
      <c r="C192" s="4" t="s">
        <v>469</v>
      </c>
      <c r="D192" s="4" t="s">
        <v>265</v>
      </c>
      <c r="E192" s="4" t="str">
        <f>HYPERLINK("http://dx.doi.org/10.1016/j.geoforum.2014.11.018","http://dx.doi.org/10.1016/j.geoforum.2014.11.018")</f>
        <v>http://dx.doi.org/10.1016/j.geoforum.2014.11.018</v>
      </c>
    </row>
    <row r="193" spans="1:5" x14ac:dyDescent="0.3">
      <c r="A193" s="3">
        <v>192</v>
      </c>
      <c r="B193" s="4" t="s">
        <v>470</v>
      </c>
      <c r="C193" s="4" t="s">
        <v>471</v>
      </c>
      <c r="D193" s="4" t="s">
        <v>9</v>
      </c>
      <c r="E193" s="4" t="str">
        <f>HYPERLINK("http://dx.doi.org/10.1016/j.gloenvcha.2011.11.001","http://dx.doi.org/10.1016/j.gloenvcha.2011.11.001")</f>
        <v>http://dx.doi.org/10.1016/j.gloenvcha.2011.11.001</v>
      </c>
    </row>
    <row r="194" spans="1:5" x14ac:dyDescent="0.3">
      <c r="A194" s="3">
        <v>193</v>
      </c>
      <c r="B194" s="4" t="s">
        <v>472</v>
      </c>
      <c r="C194" s="4" t="s">
        <v>473</v>
      </c>
      <c r="D194" s="4" t="s">
        <v>408</v>
      </c>
      <c r="E194" s="4" t="str">
        <f>HYPERLINK("http://dx.doi.org/10.1080/24694452.2020.1740579","http://dx.doi.org/10.1080/24694452.2020.1740579")</f>
        <v>http://dx.doi.org/10.1080/24694452.2020.1740579</v>
      </c>
    </row>
    <row r="195" spans="1:5" x14ac:dyDescent="0.3">
      <c r="A195" s="3">
        <v>194</v>
      </c>
      <c r="B195" s="4" t="s">
        <v>474</v>
      </c>
      <c r="C195" s="4" t="s">
        <v>475</v>
      </c>
      <c r="D195" s="4" t="s">
        <v>476</v>
      </c>
      <c r="E195" s="4" t="str">
        <f>HYPERLINK("http://dx.doi.org/10.1007/s10479-024-05863-3","http://dx.doi.org/10.1007/s10479-024-05863-3")</f>
        <v>http://dx.doi.org/10.1007/s10479-024-05863-3</v>
      </c>
    </row>
    <row r="196" spans="1:5" x14ac:dyDescent="0.3">
      <c r="A196" s="3">
        <v>195</v>
      </c>
      <c r="B196" s="4" t="s">
        <v>477</v>
      </c>
      <c r="C196" s="4" t="s">
        <v>478</v>
      </c>
      <c r="D196" s="4" t="s">
        <v>479</v>
      </c>
      <c r="E196" s="4" t="str">
        <f>HYPERLINK("http://dx.doi.org/10.1177/2399654420909394","http://dx.doi.org/10.1177/2399654420909394")</f>
        <v>http://dx.doi.org/10.1177/2399654420909394</v>
      </c>
    </row>
    <row r="197" spans="1:5" x14ac:dyDescent="0.3">
      <c r="A197" s="3">
        <v>196</v>
      </c>
      <c r="B197" s="4" t="s">
        <v>480</v>
      </c>
      <c r="C197" s="4" t="s">
        <v>481</v>
      </c>
      <c r="D197" s="4" t="s">
        <v>482</v>
      </c>
      <c r="E197" s="4" t="str">
        <f>HYPERLINK("http://dx.doi.org/10.1007/s11027-016-9731-y","http://dx.doi.org/10.1007/s11027-016-9731-y")</f>
        <v>http://dx.doi.org/10.1007/s11027-016-9731-y</v>
      </c>
    </row>
    <row r="198" spans="1:5" x14ac:dyDescent="0.3">
      <c r="A198" s="3">
        <v>197</v>
      </c>
      <c r="B198" s="4" t="s">
        <v>483</v>
      </c>
      <c r="C198" s="4" t="s">
        <v>484</v>
      </c>
      <c r="D198" s="4" t="s">
        <v>9</v>
      </c>
      <c r="E198" s="4" t="str">
        <f>HYPERLINK("http://dx.doi.org/10.1016/j.gloenvcha.2023.102769","http://dx.doi.org/10.1016/j.gloenvcha.2023.102769")</f>
        <v>http://dx.doi.org/10.1016/j.gloenvcha.2023.102769</v>
      </c>
    </row>
    <row r="199" spans="1:5" x14ac:dyDescent="0.3">
      <c r="A199" s="3">
        <v>198</v>
      </c>
      <c r="B199" s="4" t="s">
        <v>445</v>
      </c>
      <c r="C199" s="4" t="s">
        <v>485</v>
      </c>
      <c r="D199" s="4" t="s">
        <v>257</v>
      </c>
      <c r="E199" s="4" t="str">
        <f>HYPERLINK("http://dx.doi.org/10.1371/journal.pone.0243779","http://dx.doi.org/10.1371/journal.pone.0243779")</f>
        <v>http://dx.doi.org/10.1371/journal.pone.0243779</v>
      </c>
    </row>
    <row r="200" spans="1:5" x14ac:dyDescent="0.3">
      <c r="A200" s="3">
        <v>199</v>
      </c>
      <c r="B200" s="4" t="s">
        <v>486</v>
      </c>
      <c r="C200" s="4" t="s">
        <v>487</v>
      </c>
      <c r="D200" s="4" t="s">
        <v>488</v>
      </c>
      <c r="E200" s="4" t="str">
        <f>HYPERLINK("http://dx.doi.org/10.1002/2016WR018757","http://dx.doi.org/10.1002/2016WR018757")</f>
        <v>http://dx.doi.org/10.1002/2016WR018757</v>
      </c>
    </row>
    <row r="201" spans="1:5" x14ac:dyDescent="0.3">
      <c r="A201" s="3">
        <v>200</v>
      </c>
      <c r="B201" s="4" t="s">
        <v>489</v>
      </c>
      <c r="C201" s="4" t="s">
        <v>490</v>
      </c>
      <c r="D201" s="4" t="s">
        <v>457</v>
      </c>
      <c r="E201" s="4" t="str">
        <f>HYPERLINK("http://dx.doi.org/10.3389/fmars.2023.1256500","http://dx.doi.org/10.3389/fmars.2023.1256500")</f>
        <v>http://dx.doi.org/10.3389/fmars.2023.1256500</v>
      </c>
    </row>
    <row r="202" spans="1:5" x14ac:dyDescent="0.3">
      <c r="A202" s="3">
        <v>201</v>
      </c>
      <c r="B202" s="4" t="s">
        <v>491</v>
      </c>
      <c r="C202" s="4" t="s">
        <v>492</v>
      </c>
      <c r="D202" s="4" t="s">
        <v>67</v>
      </c>
      <c r="E202" s="4" t="str">
        <f>HYPERLINK("http://dx.doi.org/10.1016/j.worlddev.2017.11.001","http://dx.doi.org/10.1016/j.worlddev.2017.11.001")</f>
        <v>http://dx.doi.org/10.1016/j.worlddev.2017.11.001</v>
      </c>
    </row>
    <row r="203" spans="1:5" x14ac:dyDescent="0.3">
      <c r="A203" s="3">
        <v>202</v>
      </c>
      <c r="B203" s="4" t="s">
        <v>493</v>
      </c>
      <c r="C203" s="4" t="s">
        <v>494</v>
      </c>
      <c r="D203" s="4" t="s">
        <v>61</v>
      </c>
      <c r="E203" s="4" t="str">
        <f>HYPERLINK("http://dx.doi.org/10.1080/17565529.2024.2340079","http://dx.doi.org/10.1080/17565529.2024.2340079")</f>
        <v>http://dx.doi.org/10.1080/17565529.2024.2340079</v>
      </c>
    </row>
    <row r="204" spans="1:5" x14ac:dyDescent="0.3">
      <c r="A204" s="3">
        <v>203</v>
      </c>
      <c r="B204" s="4" t="s">
        <v>495</v>
      </c>
      <c r="C204" s="4" t="s">
        <v>496</v>
      </c>
      <c r="D204" s="4" t="s">
        <v>202</v>
      </c>
      <c r="E204" s="4" t="str">
        <f>HYPERLINK("http://dx.doi.org/10.1080/09640568.2024.2371998","http://dx.doi.org/10.1080/09640568.2024.2371998")</f>
        <v>http://dx.doi.org/10.1080/09640568.2024.2371998</v>
      </c>
    </row>
    <row r="205" spans="1:5" x14ac:dyDescent="0.3">
      <c r="A205" s="3">
        <v>204</v>
      </c>
      <c r="B205" s="4" t="s">
        <v>497</v>
      </c>
      <c r="C205" s="4" t="s">
        <v>498</v>
      </c>
      <c r="D205" s="4" t="s">
        <v>326</v>
      </c>
      <c r="E205" s="4" t="str">
        <f>HYPERLINK("http://dx.doi.org/10.1016/j.erss.2022.102756","http://dx.doi.org/10.1016/j.erss.2022.102756")</f>
        <v>http://dx.doi.org/10.1016/j.erss.2022.102756</v>
      </c>
    </row>
    <row r="206" spans="1:5" x14ac:dyDescent="0.3">
      <c r="A206" s="3">
        <v>205</v>
      </c>
      <c r="B206" s="4" t="s">
        <v>499</v>
      </c>
      <c r="C206" s="4" t="s">
        <v>500</v>
      </c>
      <c r="D206" s="4" t="s">
        <v>501</v>
      </c>
      <c r="E206" s="4" t="str">
        <f>HYPERLINK("http://dx.doi.org/10.1080/09669582.2013.804830","http://dx.doi.org/10.1080/09669582.2013.804830")</f>
        <v>http://dx.doi.org/10.1080/09669582.2013.804830</v>
      </c>
    </row>
    <row r="207" spans="1:5" x14ac:dyDescent="0.3">
      <c r="A207" s="3">
        <v>206</v>
      </c>
      <c r="B207" s="4" t="s">
        <v>502</v>
      </c>
      <c r="C207" s="4" t="s">
        <v>503</v>
      </c>
      <c r="D207" s="4" t="s">
        <v>77</v>
      </c>
      <c r="E207" s="4" t="str">
        <f>HYPERLINK("http://dx.doi.org/10.1016/j.cities.2016.10.016","http://dx.doi.org/10.1016/j.cities.2016.10.016")</f>
        <v>http://dx.doi.org/10.1016/j.cities.2016.10.016</v>
      </c>
    </row>
    <row r="208" spans="1:5" x14ac:dyDescent="0.3">
      <c r="A208" s="3">
        <v>207</v>
      </c>
      <c r="B208" s="4" t="s">
        <v>504</v>
      </c>
      <c r="C208" s="4" t="s">
        <v>505</v>
      </c>
      <c r="D208" s="4" t="s">
        <v>20</v>
      </c>
      <c r="E208" s="4" t="str">
        <f>HYPERLINK("http://dx.doi.org/10.1088/1748-9326/ad7d1d","http://dx.doi.org/10.1088/1748-9326/ad7d1d")</f>
        <v>http://dx.doi.org/10.1088/1748-9326/ad7d1d</v>
      </c>
    </row>
    <row r="209" spans="1:5" x14ac:dyDescent="0.3">
      <c r="A209" s="3">
        <v>208</v>
      </c>
      <c r="B209" s="4" t="s">
        <v>506</v>
      </c>
      <c r="C209" s="4" t="s">
        <v>507</v>
      </c>
      <c r="D209" s="4" t="s">
        <v>40</v>
      </c>
      <c r="E209" s="4" t="str">
        <f>HYPERLINK("http://dx.doi.org/10.3390/su11071928","http://dx.doi.org/10.3390/su11071928")</f>
        <v>http://dx.doi.org/10.3390/su11071928</v>
      </c>
    </row>
    <row r="210" spans="1:5" x14ac:dyDescent="0.3">
      <c r="A210" s="3">
        <v>209</v>
      </c>
      <c r="B210" s="4" t="s">
        <v>508</v>
      </c>
      <c r="C210" s="4" t="s">
        <v>509</v>
      </c>
      <c r="D210" s="4" t="s">
        <v>285</v>
      </c>
      <c r="E210" s="4" t="str">
        <f>HYPERLINK("http://dx.doi.org/10.1016/j.crm.2023.100475","http://dx.doi.org/10.1016/j.crm.2023.100475")</f>
        <v>http://dx.doi.org/10.1016/j.crm.2023.100475</v>
      </c>
    </row>
    <row r="211" spans="1:5" x14ac:dyDescent="0.3">
      <c r="A211" s="3">
        <v>210</v>
      </c>
      <c r="B211" s="4" t="s">
        <v>510</v>
      </c>
      <c r="C211" s="4" t="s">
        <v>511</v>
      </c>
      <c r="D211" s="4" t="s">
        <v>135</v>
      </c>
      <c r="E211" s="4" t="str">
        <f>HYPERLINK("http://dx.doi.org/10.1177/09562478221143591","http://dx.doi.org/10.1177/09562478221143591")</f>
        <v>http://dx.doi.org/10.1177/09562478221143591</v>
      </c>
    </row>
    <row r="212" spans="1:5" x14ac:dyDescent="0.3">
      <c r="A212" s="3">
        <v>211</v>
      </c>
      <c r="B212" s="4" t="s">
        <v>512</v>
      </c>
      <c r="C212" s="4" t="s">
        <v>513</v>
      </c>
      <c r="D212" s="4" t="s">
        <v>23</v>
      </c>
      <c r="E212" s="4" t="str">
        <f>HYPERLINK("http://dx.doi.org/10.1016/j.uclim.2021.101053","http://dx.doi.org/10.1016/j.uclim.2021.101053")</f>
        <v>http://dx.doi.org/10.1016/j.uclim.2021.101053</v>
      </c>
    </row>
    <row r="213" spans="1:5" x14ac:dyDescent="0.3">
      <c r="A213" s="3">
        <v>212</v>
      </c>
      <c r="B213" s="4" t="s">
        <v>514</v>
      </c>
      <c r="C213" s="4" t="s">
        <v>515</v>
      </c>
      <c r="D213" s="4" t="s">
        <v>516</v>
      </c>
      <c r="E213" s="4" t="str">
        <f>HYPERLINK("http://dx.doi.org/10.1080/03736245.2021.1963316","http://dx.doi.org/10.1080/03736245.2021.1963316")</f>
        <v>http://dx.doi.org/10.1080/03736245.2021.1963316</v>
      </c>
    </row>
    <row r="214" spans="1:5" x14ac:dyDescent="0.3">
      <c r="A214" s="3">
        <v>213</v>
      </c>
      <c r="B214" s="4" t="s">
        <v>517</v>
      </c>
      <c r="C214" s="4" t="s">
        <v>518</v>
      </c>
      <c r="D214" s="4" t="s">
        <v>519</v>
      </c>
      <c r="E214" s="4" t="str">
        <f>HYPERLINK("http://dx.doi.org/10.1002/eet.1795","http://dx.doi.org/10.1002/eet.1795")</f>
        <v>http://dx.doi.org/10.1002/eet.1795</v>
      </c>
    </row>
    <row r="215" spans="1:5" x14ac:dyDescent="0.3">
      <c r="A215" s="3">
        <v>214</v>
      </c>
      <c r="B215" s="4" t="s">
        <v>520</v>
      </c>
      <c r="C215" s="4" t="s">
        <v>521</v>
      </c>
      <c r="D215" s="4" t="s">
        <v>210</v>
      </c>
      <c r="E215" s="4" t="str">
        <f>HYPERLINK("http://dx.doi.org/10.1177/2514848619876539","http://dx.doi.org/10.1177/2514848619876539")</f>
        <v>http://dx.doi.org/10.1177/2514848619876539</v>
      </c>
    </row>
    <row r="216" spans="1:5" x14ac:dyDescent="0.3">
      <c r="A216" s="3">
        <v>215</v>
      </c>
      <c r="B216" s="4" t="s">
        <v>522</v>
      </c>
      <c r="C216" s="4" t="s">
        <v>523</v>
      </c>
      <c r="D216" s="4" t="s">
        <v>40</v>
      </c>
      <c r="E216" s="4" t="str">
        <f>HYPERLINK("http://dx.doi.org/10.3390/su13073773","http://dx.doi.org/10.3390/su13073773")</f>
        <v>http://dx.doi.org/10.3390/su13073773</v>
      </c>
    </row>
    <row r="217" spans="1:5" x14ac:dyDescent="0.3">
      <c r="A217" s="3">
        <v>216</v>
      </c>
      <c r="B217" s="4" t="s">
        <v>524</v>
      </c>
      <c r="C217" s="4" t="s">
        <v>525</v>
      </c>
      <c r="D217" s="4" t="s">
        <v>519</v>
      </c>
      <c r="E217" s="4" t="str">
        <f>HYPERLINK("http://dx.doi.org/10.1002/eet.2116","http://dx.doi.org/10.1002/eet.2116")</f>
        <v>http://dx.doi.org/10.1002/eet.2116</v>
      </c>
    </row>
    <row r="218" spans="1:5" x14ac:dyDescent="0.3">
      <c r="A218" s="3">
        <v>217</v>
      </c>
      <c r="B218" s="4" t="s">
        <v>526</v>
      </c>
      <c r="C218" s="4" t="s">
        <v>527</v>
      </c>
      <c r="D218" s="4" t="s">
        <v>116</v>
      </c>
      <c r="E218" s="4" t="str">
        <f>HYPERLINK("http://dx.doi.org/10.1002/wcc.836","http://dx.doi.org/10.1002/wcc.836")</f>
        <v>http://dx.doi.org/10.1002/wcc.836</v>
      </c>
    </row>
    <row r="219" spans="1:5" x14ac:dyDescent="0.3">
      <c r="A219" s="3">
        <v>218</v>
      </c>
      <c r="B219" s="4" t="s">
        <v>528</v>
      </c>
      <c r="C219" s="4" t="s">
        <v>529</v>
      </c>
      <c r="D219" s="4" t="s">
        <v>530</v>
      </c>
      <c r="E219" s="4" t="str">
        <f>HYPERLINK("http://dx.doi.org/10.1016/j.cie.2023.109153","http://dx.doi.org/10.1016/j.cie.2023.109153")</f>
        <v>http://dx.doi.org/10.1016/j.cie.2023.109153</v>
      </c>
    </row>
    <row r="220" spans="1:5" x14ac:dyDescent="0.3">
      <c r="A220" s="3">
        <v>219</v>
      </c>
      <c r="B220" s="4" t="s">
        <v>531</v>
      </c>
      <c r="C220" s="4" t="s">
        <v>532</v>
      </c>
      <c r="D220" s="4" t="s">
        <v>533</v>
      </c>
      <c r="E220" s="4" t="str">
        <f>HYPERLINK("http://dx.doi.org/10.1080/23311932.2024.2320210","http://dx.doi.org/10.1080/23311932.2024.2320210")</f>
        <v>http://dx.doi.org/10.1080/23311932.2024.2320210</v>
      </c>
    </row>
    <row r="221" spans="1:5" x14ac:dyDescent="0.3">
      <c r="A221" s="3">
        <v>220</v>
      </c>
      <c r="B221" s="4" t="s">
        <v>534</v>
      </c>
      <c r="C221" s="4" t="s">
        <v>535</v>
      </c>
      <c r="D221" s="4" t="s">
        <v>285</v>
      </c>
      <c r="E221" s="4" t="str">
        <f>HYPERLINK("http://dx.doi.org/10.1016/j.crm.2022.100467","http://dx.doi.org/10.1016/j.crm.2022.100467")</f>
        <v>http://dx.doi.org/10.1016/j.crm.2022.100467</v>
      </c>
    </row>
    <row r="222" spans="1:5" x14ac:dyDescent="0.3">
      <c r="A222" s="3">
        <v>221</v>
      </c>
      <c r="B222" s="4" t="s">
        <v>536</v>
      </c>
      <c r="C222" s="4" t="s">
        <v>537</v>
      </c>
      <c r="D222" s="4" t="s">
        <v>61</v>
      </c>
      <c r="E222" s="4" t="str">
        <f>HYPERLINK("http://dx.doi.org/10.1080/17565529.2022.2057905","http://dx.doi.org/10.1080/17565529.2022.2057905")</f>
        <v>http://dx.doi.org/10.1080/17565529.2022.2057905</v>
      </c>
    </row>
    <row r="223" spans="1:5" x14ac:dyDescent="0.3">
      <c r="A223" s="3">
        <v>222</v>
      </c>
      <c r="B223" s="4" t="s">
        <v>538</v>
      </c>
      <c r="C223" s="4" t="s">
        <v>539</v>
      </c>
      <c r="D223" s="4" t="s">
        <v>64</v>
      </c>
      <c r="E223" s="4" t="str">
        <f>HYPERLINK("http://dx.doi.org/10.1080/14693062.2021.2002251","http://dx.doi.org/10.1080/14693062.2021.2002251")</f>
        <v>http://dx.doi.org/10.1080/14693062.2021.2002251</v>
      </c>
    </row>
    <row r="224" spans="1:5" x14ac:dyDescent="0.3">
      <c r="A224" s="3">
        <v>223</v>
      </c>
      <c r="B224" s="4" t="s">
        <v>540</v>
      </c>
      <c r="C224" s="4" t="s">
        <v>541</v>
      </c>
      <c r="D224" s="4" t="s">
        <v>542</v>
      </c>
      <c r="E224" s="4" t="str">
        <f>HYPERLINK("http://dx.doi.org/10.1080/09584935.2024.2419835","http://dx.doi.org/10.1080/09584935.2024.2419835")</f>
        <v>http://dx.doi.org/10.1080/09584935.2024.2419835</v>
      </c>
    </row>
    <row r="225" spans="1:5" x14ac:dyDescent="0.3">
      <c r="A225" s="3">
        <v>224</v>
      </c>
      <c r="B225" s="4" t="s">
        <v>543</v>
      </c>
      <c r="C225" s="4" t="s">
        <v>544</v>
      </c>
      <c r="D225" s="4" t="s">
        <v>545</v>
      </c>
      <c r="E225" s="4" t="str">
        <f>HYPERLINK("http://dx.doi.org/10.1080/17535069.2023.2228275","http://dx.doi.org/10.1080/17535069.2023.2228275")</f>
        <v>http://dx.doi.org/10.1080/17535069.2023.2228275</v>
      </c>
    </row>
    <row r="226" spans="1:5" x14ac:dyDescent="0.3">
      <c r="A226" s="3">
        <v>225</v>
      </c>
      <c r="B226" s="4" t="s">
        <v>546</v>
      </c>
      <c r="C226" s="4" t="s">
        <v>547</v>
      </c>
      <c r="D226" s="4" t="s">
        <v>548</v>
      </c>
      <c r="E226" s="4" t="str">
        <f>HYPERLINK("http://dx.doi.org/10.1111/j.1467-9701.2010.01287.x","http://dx.doi.org/10.1111/j.1467-9701.2010.01287.x")</f>
        <v>http://dx.doi.org/10.1111/j.1467-9701.2010.01287.x</v>
      </c>
    </row>
    <row r="227" spans="1:5" x14ac:dyDescent="0.3">
      <c r="A227" s="3">
        <v>226</v>
      </c>
      <c r="B227" s="4" t="s">
        <v>549</v>
      </c>
      <c r="C227" s="4" t="s">
        <v>550</v>
      </c>
      <c r="D227" s="4" t="s">
        <v>479</v>
      </c>
      <c r="E227" s="4" t="str">
        <f>HYPERLINK("http://dx.doi.org/10.1177/23996544241268020","http://dx.doi.org/10.1177/23996544241268020")</f>
        <v>http://dx.doi.org/10.1177/23996544241268020</v>
      </c>
    </row>
    <row r="228" spans="1:5" x14ac:dyDescent="0.3">
      <c r="A228" s="3">
        <v>227</v>
      </c>
      <c r="B228" s="4" t="s">
        <v>551</v>
      </c>
      <c r="C228" s="4" t="s">
        <v>552</v>
      </c>
      <c r="D228" s="4" t="s">
        <v>207</v>
      </c>
      <c r="E228" s="4" t="str">
        <f>HYPERLINK("http://dx.doi.org/10.1007/s10113-022-01958-4","http://dx.doi.org/10.1007/s10113-022-01958-4")</f>
        <v>http://dx.doi.org/10.1007/s10113-022-01958-4</v>
      </c>
    </row>
    <row r="229" spans="1:5" x14ac:dyDescent="0.3">
      <c r="A229" s="3">
        <v>228</v>
      </c>
      <c r="B229" s="4" t="s">
        <v>553</v>
      </c>
      <c r="C229" s="4" t="s">
        <v>554</v>
      </c>
      <c r="D229" s="4" t="s">
        <v>555</v>
      </c>
      <c r="E229" s="4" t="str">
        <f>HYPERLINK("http://dx.doi.org/10.1017/bca.2020.32","http://dx.doi.org/10.1017/bca.2020.32")</f>
        <v>http://dx.doi.org/10.1017/bca.2020.32</v>
      </c>
    </row>
    <row r="230" spans="1:5" x14ac:dyDescent="0.3">
      <c r="A230" s="3">
        <v>229</v>
      </c>
      <c r="B230" s="4" t="s">
        <v>556</v>
      </c>
      <c r="C230" s="4" t="s">
        <v>557</v>
      </c>
      <c r="D230" s="4" t="s">
        <v>558</v>
      </c>
      <c r="E230" s="4" t="str">
        <f>HYPERLINK("http://dx.doi.org/10.1111/sjtg.12341","http://dx.doi.org/10.1111/sjtg.12341")</f>
        <v>http://dx.doi.org/10.1111/sjtg.12341</v>
      </c>
    </row>
    <row r="231" spans="1:5" x14ac:dyDescent="0.3">
      <c r="A231" s="3">
        <v>230</v>
      </c>
      <c r="B231" s="4" t="s">
        <v>559</v>
      </c>
      <c r="C231" s="4" t="s">
        <v>560</v>
      </c>
      <c r="D231" s="4" t="s">
        <v>265</v>
      </c>
      <c r="E231" s="4" t="str">
        <f>HYPERLINK("http://dx.doi.org/10.1016/j.geoforum.2024.104051","http://dx.doi.org/10.1016/j.geoforum.2024.104051")</f>
        <v>http://dx.doi.org/10.1016/j.geoforum.2024.104051</v>
      </c>
    </row>
    <row r="232" spans="1:5" x14ac:dyDescent="0.3">
      <c r="A232" s="3">
        <v>231</v>
      </c>
      <c r="B232" s="4" t="s">
        <v>561</v>
      </c>
      <c r="C232" s="4" t="s">
        <v>562</v>
      </c>
      <c r="D232" s="4" t="s">
        <v>199</v>
      </c>
      <c r="E232" s="4" t="str">
        <f>HYPERLINK("http://dx.doi.org/10.1080/09644016.2014.920563","http://dx.doi.org/10.1080/09644016.2014.920563")</f>
        <v>http://dx.doi.org/10.1080/09644016.2014.920563</v>
      </c>
    </row>
    <row r="233" spans="1:5" x14ac:dyDescent="0.3">
      <c r="A233" s="3">
        <v>232</v>
      </c>
      <c r="B233" s="4" t="s">
        <v>563</v>
      </c>
      <c r="C233" s="4" t="s">
        <v>564</v>
      </c>
      <c r="D233" s="4" t="s">
        <v>229</v>
      </c>
      <c r="E233" s="4" t="str">
        <f>HYPERLINK("http://dx.doi.org/10.1007/s13280-021-01647-2","http://dx.doi.org/10.1007/s13280-021-01647-2")</f>
        <v>http://dx.doi.org/10.1007/s13280-021-01647-2</v>
      </c>
    </row>
    <row r="234" spans="1:5" x14ac:dyDescent="0.3">
      <c r="A234" s="3">
        <v>233</v>
      </c>
      <c r="B234" s="4" t="s">
        <v>565</v>
      </c>
      <c r="C234" s="4" t="s">
        <v>566</v>
      </c>
      <c r="D234" s="4" t="s">
        <v>567</v>
      </c>
      <c r="E234" s="4" t="str">
        <f>HYPERLINK("http://dx.doi.org/10.1080/02723638.2016.1206395","http://dx.doi.org/10.1080/02723638.2016.1206395")</f>
        <v>http://dx.doi.org/10.1080/02723638.2016.1206395</v>
      </c>
    </row>
    <row r="235" spans="1:5" x14ac:dyDescent="0.3">
      <c r="A235" s="3">
        <v>234</v>
      </c>
      <c r="B235" s="4" t="s">
        <v>568</v>
      </c>
      <c r="C235" s="4" t="s">
        <v>569</v>
      </c>
      <c r="D235" s="4" t="s">
        <v>141</v>
      </c>
      <c r="E235" s="4" t="str">
        <f>HYPERLINK("http://dx.doi.org/10.1016/j.envdev.2024.100970","http://dx.doi.org/10.1016/j.envdev.2024.100970")</f>
        <v>http://dx.doi.org/10.1016/j.envdev.2024.100970</v>
      </c>
    </row>
    <row r="236" spans="1:5" x14ac:dyDescent="0.3">
      <c r="A236" s="3">
        <v>235</v>
      </c>
      <c r="B236" s="4" t="s">
        <v>570</v>
      </c>
      <c r="C236" s="4" t="s">
        <v>571</v>
      </c>
      <c r="D236" s="4" t="s">
        <v>40</v>
      </c>
      <c r="E236" s="4" t="str">
        <f>HYPERLINK("http://dx.doi.org/10.3390/su11102993","http://dx.doi.org/10.3390/su11102993")</f>
        <v>http://dx.doi.org/10.3390/su11102993</v>
      </c>
    </row>
    <row r="237" spans="1:5" x14ac:dyDescent="0.3">
      <c r="A237" s="3">
        <v>236</v>
      </c>
      <c r="B237" s="4" t="s">
        <v>572</v>
      </c>
      <c r="C237" s="4" t="s">
        <v>573</v>
      </c>
      <c r="D237" s="4" t="s">
        <v>9</v>
      </c>
      <c r="E237" s="4" t="str">
        <f>HYPERLINK("http://dx.doi.org/10.1016/j.gloenvcha.2020.102071","http://dx.doi.org/10.1016/j.gloenvcha.2020.102071")</f>
        <v>http://dx.doi.org/10.1016/j.gloenvcha.2020.102071</v>
      </c>
    </row>
    <row r="238" spans="1:5" x14ac:dyDescent="0.3">
      <c r="A238" s="3">
        <v>237</v>
      </c>
      <c r="B238" s="4" t="s">
        <v>574</v>
      </c>
      <c r="C238" s="4" t="s">
        <v>575</v>
      </c>
      <c r="D238" s="4" t="s">
        <v>576</v>
      </c>
      <c r="E238" s="4" t="str">
        <f>HYPERLINK("http://dx.doi.org/10.1007/s10668-020-00713-1","http://dx.doi.org/10.1007/s10668-020-00713-1")</f>
        <v>http://dx.doi.org/10.1007/s10668-020-00713-1</v>
      </c>
    </row>
    <row r="239" spans="1:5" x14ac:dyDescent="0.3">
      <c r="A239" s="3">
        <v>238</v>
      </c>
      <c r="B239" s="4" t="s">
        <v>577</v>
      </c>
      <c r="C239" s="4" t="s">
        <v>578</v>
      </c>
      <c r="D239" s="4" t="s">
        <v>70</v>
      </c>
      <c r="E239" s="4" t="str">
        <f>HYPERLINK("http://dx.doi.org/10.1177/10704965241305842","http://dx.doi.org/10.1177/10704965241305842")</f>
        <v>http://dx.doi.org/10.1177/10704965241305842</v>
      </c>
    </row>
    <row r="240" spans="1:5" x14ac:dyDescent="0.3">
      <c r="A240" s="3">
        <v>239</v>
      </c>
      <c r="B240" s="4" t="s">
        <v>579</v>
      </c>
      <c r="C240" s="4" t="s">
        <v>580</v>
      </c>
      <c r="D240" s="4" t="s">
        <v>40</v>
      </c>
      <c r="E240" s="4" t="str">
        <f>HYPERLINK("http://dx.doi.org/10.3390/su13041869","http://dx.doi.org/10.3390/su13041869")</f>
        <v>http://dx.doi.org/10.3390/su13041869</v>
      </c>
    </row>
    <row r="241" spans="1:5" x14ac:dyDescent="0.3">
      <c r="A241" s="3">
        <v>240</v>
      </c>
      <c r="B241" s="4" t="s">
        <v>581</v>
      </c>
      <c r="C241" s="4" t="s">
        <v>582</v>
      </c>
      <c r="D241" s="4" t="s">
        <v>583</v>
      </c>
      <c r="E241" s="4" t="str">
        <f>HYPERLINK("http://dx.doi.org/10.3389/fpubh.2024.1309186","http://dx.doi.org/10.3389/fpubh.2024.1309186")</f>
        <v>http://dx.doi.org/10.3389/fpubh.2024.1309186</v>
      </c>
    </row>
    <row r="242" spans="1:5" x14ac:dyDescent="0.3">
      <c r="A242" s="3">
        <v>241</v>
      </c>
      <c r="B242" s="4" t="s">
        <v>584</v>
      </c>
      <c r="C242" s="4" t="s">
        <v>585</v>
      </c>
      <c r="D242" s="4" t="s">
        <v>46</v>
      </c>
      <c r="E242" s="4" t="str">
        <f>HYPERLINK("http://dx.doi.org/10.1007/s10584-016-1765-3","http://dx.doi.org/10.1007/s10584-016-1765-3")</f>
        <v>http://dx.doi.org/10.1007/s10584-016-1765-3</v>
      </c>
    </row>
    <row r="243" spans="1:5" x14ac:dyDescent="0.3">
      <c r="A243" s="3">
        <v>242</v>
      </c>
      <c r="B243" s="4" t="s">
        <v>586</v>
      </c>
      <c r="C243" s="4" t="s">
        <v>587</v>
      </c>
      <c r="D243" s="4" t="s">
        <v>588</v>
      </c>
      <c r="E243" s="4" t="str">
        <f>HYPERLINK("http://dx.doi.org/10.1177/1010539510392361","http://dx.doi.org/10.1177/1010539510392361")</f>
        <v>http://dx.doi.org/10.1177/1010539510392361</v>
      </c>
    </row>
    <row r="244" spans="1:5" x14ac:dyDescent="0.3">
      <c r="A244" s="3">
        <v>243</v>
      </c>
      <c r="B244" s="4" t="s">
        <v>589</v>
      </c>
      <c r="C244" s="4" t="s">
        <v>590</v>
      </c>
      <c r="D244" s="4" t="s">
        <v>591</v>
      </c>
      <c r="E244" s="4" t="str">
        <f>HYPERLINK("http://dx.doi.org/10.1016/j.marpol.2018.03.011","http://dx.doi.org/10.1016/j.marpol.2018.03.011")</f>
        <v>http://dx.doi.org/10.1016/j.marpol.2018.03.011</v>
      </c>
    </row>
    <row r="245" spans="1:5" x14ac:dyDescent="0.3">
      <c r="A245" s="3">
        <v>244</v>
      </c>
      <c r="B245" s="4" t="s">
        <v>592</v>
      </c>
      <c r="C245" s="4" t="s">
        <v>593</v>
      </c>
      <c r="D245" s="4" t="s">
        <v>64</v>
      </c>
      <c r="E245" s="4" t="str">
        <f>HYPERLINK("http://dx.doi.org/10.1080/14693062.2020.1867047","http://dx.doi.org/10.1080/14693062.2020.1867047")</f>
        <v>http://dx.doi.org/10.1080/14693062.2020.1867047</v>
      </c>
    </row>
    <row r="246" spans="1:5" x14ac:dyDescent="0.3">
      <c r="A246" s="3">
        <v>245</v>
      </c>
      <c r="B246" s="4" t="s">
        <v>594</v>
      </c>
      <c r="C246" s="4" t="s">
        <v>595</v>
      </c>
      <c r="D246" s="4" t="s">
        <v>596</v>
      </c>
      <c r="E246" s="4" t="str">
        <f>HYPERLINK("http://dx.doi.org/10.1098/rsta.2017.0305","http://dx.doi.org/10.1098/rsta.2017.0305")</f>
        <v>http://dx.doi.org/10.1098/rsta.2017.0305</v>
      </c>
    </row>
    <row r="247" spans="1:5" x14ac:dyDescent="0.3">
      <c r="A247" s="3">
        <v>246</v>
      </c>
      <c r="B247" s="4" t="s">
        <v>597</v>
      </c>
      <c r="C247" s="4" t="s">
        <v>598</v>
      </c>
      <c r="D247" s="4" t="s">
        <v>34</v>
      </c>
      <c r="E247" s="4" t="str">
        <f>HYPERLINK("http://dx.doi.org/10.1016/j.landurbplan.2024.105017","http://dx.doi.org/10.1016/j.landurbplan.2024.105017")</f>
        <v>http://dx.doi.org/10.1016/j.landurbplan.2024.105017</v>
      </c>
    </row>
    <row r="248" spans="1:5" x14ac:dyDescent="0.3">
      <c r="A248" s="3">
        <v>247</v>
      </c>
      <c r="B248" s="4" t="s">
        <v>599</v>
      </c>
      <c r="C248" s="4" t="s">
        <v>600</v>
      </c>
      <c r="D248" s="4" t="s">
        <v>601</v>
      </c>
      <c r="E248" s="4" t="str">
        <f>HYPERLINK("http://dx.doi.org/10.1007/s00267-018-1027-4","http://dx.doi.org/10.1007/s00267-018-1027-4")</f>
        <v>http://dx.doi.org/10.1007/s00267-018-1027-4</v>
      </c>
    </row>
    <row r="249" spans="1:5" x14ac:dyDescent="0.3">
      <c r="A249" s="3">
        <v>248</v>
      </c>
      <c r="B249" s="4" t="s">
        <v>602</v>
      </c>
      <c r="C249" s="4" t="s">
        <v>603</v>
      </c>
      <c r="D249" s="4" t="s">
        <v>395</v>
      </c>
      <c r="E249" s="4" t="str">
        <f>HYPERLINK("http://dx.doi.org/10.1111/geoj.12551","http://dx.doi.org/10.1111/geoj.12551")</f>
        <v>http://dx.doi.org/10.1111/geoj.12551</v>
      </c>
    </row>
    <row r="250" spans="1:5" x14ac:dyDescent="0.3">
      <c r="A250" s="3">
        <v>249</v>
      </c>
      <c r="B250" s="4" t="s">
        <v>604</v>
      </c>
      <c r="C250" s="4" t="s">
        <v>605</v>
      </c>
      <c r="D250" s="4" t="s">
        <v>135</v>
      </c>
      <c r="E250" s="4" t="str">
        <f>HYPERLINK("http://dx.doi.org/10.1177/09562478221113632","http://dx.doi.org/10.1177/09562478221113632")</f>
        <v>http://dx.doi.org/10.1177/09562478221113632</v>
      </c>
    </row>
    <row r="251" spans="1:5" x14ac:dyDescent="0.3">
      <c r="A251" s="3">
        <v>250</v>
      </c>
      <c r="B251" s="4" t="s">
        <v>606</v>
      </c>
      <c r="C251" s="4" t="s">
        <v>607</v>
      </c>
      <c r="D251" s="4" t="s">
        <v>257</v>
      </c>
      <c r="E251" s="4" t="str">
        <f>HYPERLINK("http://dx.doi.org/10.1371/journal.pone.0240841","http://dx.doi.org/10.1371/journal.pone.0240841")</f>
        <v>http://dx.doi.org/10.1371/journal.pone.0240841</v>
      </c>
    </row>
    <row r="252" spans="1:5" x14ac:dyDescent="0.3">
      <c r="A252" s="3">
        <v>251</v>
      </c>
      <c r="B252" s="4" t="s">
        <v>608</v>
      </c>
      <c r="C252" s="4" t="s">
        <v>609</v>
      </c>
      <c r="D252" s="4" t="s">
        <v>34</v>
      </c>
      <c r="E252" s="4" t="str">
        <f>HYPERLINK("http://dx.doi.org/10.1016/j.landurbplan.2021.104130","http://dx.doi.org/10.1016/j.landurbplan.2021.104130")</f>
        <v>http://dx.doi.org/10.1016/j.landurbplan.2021.104130</v>
      </c>
    </row>
    <row r="253" spans="1:5" x14ac:dyDescent="0.3">
      <c r="A253" s="3">
        <v>252</v>
      </c>
      <c r="B253" s="4" t="s">
        <v>610</v>
      </c>
      <c r="C253" s="4" t="s">
        <v>611</v>
      </c>
      <c r="D253" s="4" t="s">
        <v>98</v>
      </c>
      <c r="E253" s="4" t="str">
        <f>HYPERLINK("http://dx.doi.org/10.1016/j.landusepol.2021.105960","http://dx.doi.org/10.1016/j.landusepol.2021.105960")</f>
        <v>http://dx.doi.org/10.1016/j.landusepol.2021.105960</v>
      </c>
    </row>
    <row r="254" spans="1:5" x14ac:dyDescent="0.3">
      <c r="A254" s="3">
        <v>253</v>
      </c>
      <c r="B254" s="4" t="s">
        <v>612</v>
      </c>
      <c r="C254" s="4" t="s">
        <v>613</v>
      </c>
      <c r="D254" s="4" t="s">
        <v>614</v>
      </c>
      <c r="E254" s="4" t="str">
        <f>HYPERLINK("http://dx.doi.org/10.1080/1943815X.2018.1450766","http://dx.doi.org/10.1080/1943815X.2018.1450766")</f>
        <v>http://dx.doi.org/10.1080/1943815X.2018.1450766</v>
      </c>
    </row>
    <row r="255" spans="1:5" x14ac:dyDescent="0.3">
      <c r="A255" s="3">
        <v>254</v>
      </c>
      <c r="B255" s="4" t="s">
        <v>615</v>
      </c>
      <c r="C255" s="4" t="s">
        <v>616</v>
      </c>
      <c r="D255" s="4" t="s">
        <v>138</v>
      </c>
      <c r="E255" s="4" t="str">
        <f>HYPERLINK("http://dx.doi.org/10.1016/j.scs.2021.102774","http://dx.doi.org/10.1016/j.scs.2021.102774")</f>
        <v>http://dx.doi.org/10.1016/j.scs.2021.102774</v>
      </c>
    </row>
    <row r="256" spans="1:5" x14ac:dyDescent="0.3">
      <c r="A256" s="3">
        <v>255</v>
      </c>
      <c r="B256" s="4" t="s">
        <v>617</v>
      </c>
      <c r="C256" s="4" t="s">
        <v>618</v>
      </c>
      <c r="D256" s="4" t="s">
        <v>619</v>
      </c>
      <c r="E256" s="4" t="str">
        <f>HYPERLINK("http://dx.doi.org/10.1080/14486563.2011.583612","http://dx.doi.org/10.1080/14486563.2011.583612")</f>
        <v>http://dx.doi.org/10.1080/14486563.2011.583612</v>
      </c>
    </row>
    <row r="257" spans="1:5" x14ac:dyDescent="0.3">
      <c r="A257" s="3">
        <v>256</v>
      </c>
      <c r="B257" s="4" t="s">
        <v>620</v>
      </c>
      <c r="C257" s="4" t="s">
        <v>621</v>
      </c>
      <c r="D257" s="4" t="s">
        <v>9</v>
      </c>
      <c r="E257" s="4" t="str">
        <f>HYPERLINK("http://dx.doi.org/10.1016/j.gloenvcha.2017.06.010","http://dx.doi.org/10.1016/j.gloenvcha.2017.06.010")</f>
        <v>http://dx.doi.org/10.1016/j.gloenvcha.2017.06.010</v>
      </c>
    </row>
    <row r="258" spans="1:5" x14ac:dyDescent="0.3">
      <c r="A258" s="3">
        <v>257</v>
      </c>
      <c r="B258" s="4" t="s">
        <v>622</v>
      </c>
      <c r="C258" s="4" t="s">
        <v>623</v>
      </c>
      <c r="D258" s="4" t="s">
        <v>61</v>
      </c>
      <c r="E258" s="4" t="str">
        <f>HYPERLINK("http://dx.doi.org/10.1080/17565529.2019.1701971","http://dx.doi.org/10.1080/17565529.2019.1701971")</f>
        <v>http://dx.doi.org/10.1080/17565529.2019.1701971</v>
      </c>
    </row>
    <row r="259" spans="1:5" x14ac:dyDescent="0.3">
      <c r="A259" s="3">
        <v>258</v>
      </c>
      <c r="B259" s="4" t="s">
        <v>624</v>
      </c>
      <c r="C259" s="4" t="s">
        <v>625</v>
      </c>
      <c r="D259" s="4" t="s">
        <v>138</v>
      </c>
      <c r="E259" s="4" t="str">
        <f>HYPERLINK("http://dx.doi.org/10.1016/j.scs.2021.103258","http://dx.doi.org/10.1016/j.scs.2021.103258")</f>
        <v>http://dx.doi.org/10.1016/j.scs.2021.103258</v>
      </c>
    </row>
    <row r="260" spans="1:5" x14ac:dyDescent="0.3">
      <c r="A260" s="3">
        <v>259</v>
      </c>
      <c r="B260" s="4" t="s">
        <v>626</v>
      </c>
      <c r="C260" s="4" t="s">
        <v>627</v>
      </c>
      <c r="D260" s="4" t="s">
        <v>628</v>
      </c>
      <c r="E260" s="4" t="str">
        <f>HYPERLINK("http://dx.doi.org/10.1093/clp/cuab007","http://dx.doi.org/10.1093/clp/cuab007")</f>
        <v>http://dx.doi.org/10.1093/clp/cuab007</v>
      </c>
    </row>
    <row r="261" spans="1:5" x14ac:dyDescent="0.3">
      <c r="A261" s="3">
        <v>260</v>
      </c>
      <c r="B261" s="4" t="s">
        <v>629</v>
      </c>
      <c r="C261" s="4" t="s">
        <v>630</v>
      </c>
      <c r="D261" s="4" t="s">
        <v>241</v>
      </c>
      <c r="E261" s="4" t="str">
        <f>HYPERLINK("http://dx.doi.org/10.1016/j.ocecoaman.2019.01.011","http://dx.doi.org/10.1016/j.ocecoaman.2019.01.011")</f>
        <v>http://dx.doi.org/10.1016/j.ocecoaman.2019.01.011</v>
      </c>
    </row>
    <row r="262" spans="1:5" x14ac:dyDescent="0.3">
      <c r="A262" s="3">
        <v>261</v>
      </c>
      <c r="B262" s="4" t="s">
        <v>631</v>
      </c>
      <c r="C262" s="4" t="s">
        <v>632</v>
      </c>
      <c r="D262" s="4" t="s">
        <v>40</v>
      </c>
      <c r="E262" s="4" t="str">
        <f>HYPERLINK("http://dx.doi.org/10.3390/su16177745","http://dx.doi.org/10.3390/su16177745")</f>
        <v>http://dx.doi.org/10.3390/su16177745</v>
      </c>
    </row>
    <row r="263" spans="1:5" x14ac:dyDescent="0.3">
      <c r="A263" s="3">
        <v>262</v>
      </c>
      <c r="B263" s="4" t="s">
        <v>633</v>
      </c>
      <c r="C263" s="4" t="s">
        <v>634</v>
      </c>
      <c r="D263" s="4" t="s">
        <v>64</v>
      </c>
      <c r="E263" s="4" t="str">
        <f>HYPERLINK("http://dx.doi.org/10.1080/14693062.2023.2224281","http://dx.doi.org/10.1080/14693062.2023.2224281")</f>
        <v>http://dx.doi.org/10.1080/14693062.2023.2224281</v>
      </c>
    </row>
    <row r="264" spans="1:5" x14ac:dyDescent="0.3">
      <c r="A264" s="3">
        <v>263</v>
      </c>
      <c r="B264" s="4" t="s">
        <v>635</v>
      </c>
      <c r="C264" s="4" t="s">
        <v>636</v>
      </c>
      <c r="D264" s="4" t="s">
        <v>61</v>
      </c>
      <c r="E264" s="4" t="str">
        <f>HYPERLINK("http://dx.doi.org/10.1080/17565529.2021.1937029","http://dx.doi.org/10.1080/17565529.2021.1937029")</f>
        <v>http://dx.doi.org/10.1080/17565529.2021.1937029</v>
      </c>
    </row>
    <row r="265" spans="1:5" x14ac:dyDescent="0.3">
      <c r="A265" s="3">
        <v>264</v>
      </c>
      <c r="B265" s="4" t="s">
        <v>637</v>
      </c>
      <c r="C265" s="4" t="s">
        <v>638</v>
      </c>
      <c r="D265" s="4" t="s">
        <v>639</v>
      </c>
      <c r="E265" s="4" t="s">
        <v>167</v>
      </c>
    </row>
    <row r="266" spans="1:5" x14ac:dyDescent="0.3">
      <c r="A266" s="3">
        <v>265</v>
      </c>
      <c r="B266" s="4" t="s">
        <v>640</v>
      </c>
      <c r="C266" s="4" t="s">
        <v>641</v>
      </c>
      <c r="D266" s="4" t="s">
        <v>12</v>
      </c>
      <c r="E266" s="4" t="str">
        <f>HYPERLINK("http://dx.doi.org/10.1038/s41558-020-00968-6","http://dx.doi.org/10.1038/s41558-020-00968-6")</f>
        <v>http://dx.doi.org/10.1038/s41558-020-00968-6</v>
      </c>
    </row>
    <row r="267" spans="1:5" x14ac:dyDescent="0.3">
      <c r="A267" s="3">
        <v>266</v>
      </c>
      <c r="B267" s="4" t="s">
        <v>96</v>
      </c>
      <c r="C267" s="4" t="s">
        <v>642</v>
      </c>
      <c r="D267" s="4" t="s">
        <v>61</v>
      </c>
      <c r="E267" s="4" t="str">
        <f>HYPERLINK("http://dx.doi.org/10.1080/17565529.2019.1699394","http://dx.doi.org/10.1080/17565529.2019.1699394")</f>
        <v>http://dx.doi.org/10.1080/17565529.2019.1699394</v>
      </c>
    </row>
    <row r="268" spans="1:5" x14ac:dyDescent="0.3">
      <c r="A268" s="3">
        <v>267</v>
      </c>
      <c r="B268" s="4" t="s">
        <v>643</v>
      </c>
      <c r="C268" s="4" t="s">
        <v>644</v>
      </c>
      <c r="D268" s="4" t="s">
        <v>46</v>
      </c>
      <c r="E268" s="4" t="str">
        <f>HYPERLINK("http://dx.doi.org/10.1007/s10584-016-1755-5","http://dx.doi.org/10.1007/s10584-016-1755-5")</f>
        <v>http://dx.doi.org/10.1007/s10584-016-1755-5</v>
      </c>
    </row>
    <row r="269" spans="1:5" x14ac:dyDescent="0.3">
      <c r="A269" s="3">
        <v>268</v>
      </c>
      <c r="B269" s="4" t="s">
        <v>645</v>
      </c>
      <c r="C269" s="4" t="s">
        <v>646</v>
      </c>
      <c r="D269" s="4" t="s">
        <v>29</v>
      </c>
      <c r="E269" s="4" t="str">
        <f>HYPERLINK("http://dx.doi.org/10.1016/j.envsci.2019.08.016","http://dx.doi.org/10.1016/j.envsci.2019.08.016")</f>
        <v>http://dx.doi.org/10.1016/j.envsci.2019.08.016</v>
      </c>
    </row>
    <row r="270" spans="1:5" x14ac:dyDescent="0.3">
      <c r="A270" s="3">
        <v>269</v>
      </c>
      <c r="B270" s="4" t="s">
        <v>647</v>
      </c>
      <c r="C270" s="4" t="s">
        <v>648</v>
      </c>
      <c r="D270" s="4" t="s">
        <v>15</v>
      </c>
      <c r="E270" s="4" t="str">
        <f>HYPERLINK("http://dx.doi.org/10.1080/13549839.2024.2413096","http://dx.doi.org/10.1080/13549839.2024.2413096")</f>
        <v>http://dx.doi.org/10.1080/13549839.2024.2413096</v>
      </c>
    </row>
    <row r="271" spans="1:5" x14ac:dyDescent="0.3">
      <c r="A271" s="3">
        <v>270</v>
      </c>
      <c r="B271" s="4" t="s">
        <v>649</v>
      </c>
      <c r="C271" s="4" t="s">
        <v>650</v>
      </c>
      <c r="D271" s="4" t="s">
        <v>61</v>
      </c>
      <c r="E271" s="4" t="str">
        <f>HYPERLINK("http://dx.doi.org/10.1080/17565529.2015.1041445","http://dx.doi.org/10.1080/17565529.2015.1041445")</f>
        <v>http://dx.doi.org/10.1080/17565529.2015.1041445</v>
      </c>
    </row>
    <row r="272" spans="1:5" x14ac:dyDescent="0.3">
      <c r="A272" s="3">
        <v>271</v>
      </c>
      <c r="B272" s="4" t="s">
        <v>651</v>
      </c>
      <c r="C272" s="4" t="s">
        <v>652</v>
      </c>
      <c r="D272" s="4" t="s">
        <v>653</v>
      </c>
      <c r="E272" s="4" t="str">
        <f>HYPERLINK("http://dx.doi.org/10.1146/annurev-resource-100516-033554","http://dx.doi.org/10.1146/annurev-resource-100516-033554")</f>
        <v>http://dx.doi.org/10.1146/annurev-resource-100516-033554</v>
      </c>
    </row>
    <row r="273" spans="1:5" x14ac:dyDescent="0.3">
      <c r="A273" s="3">
        <v>272</v>
      </c>
      <c r="B273" s="4" t="s">
        <v>654</v>
      </c>
      <c r="C273" s="4" t="s">
        <v>655</v>
      </c>
      <c r="D273" s="4" t="s">
        <v>656</v>
      </c>
      <c r="E273" s="4" t="str">
        <f>HYPERLINK("http://dx.doi.org/10.1080/14702541.2020.1863609","http://dx.doi.org/10.1080/14702541.2020.1863609")</f>
        <v>http://dx.doi.org/10.1080/14702541.2020.1863609</v>
      </c>
    </row>
    <row r="274" spans="1:5" x14ac:dyDescent="0.3">
      <c r="A274" s="3">
        <v>273</v>
      </c>
      <c r="B274" s="4" t="s">
        <v>657</v>
      </c>
      <c r="C274" s="4" t="s">
        <v>658</v>
      </c>
      <c r="D274" s="4" t="s">
        <v>659</v>
      </c>
      <c r="E274" s="4" t="str">
        <f>HYPERLINK("http://dx.doi.org/10.1080/17477891.2022.2130860","http://dx.doi.org/10.1080/17477891.2022.2130860")</f>
        <v>http://dx.doi.org/10.1080/17477891.2022.2130860</v>
      </c>
    </row>
    <row r="275" spans="1:5" x14ac:dyDescent="0.3">
      <c r="A275" s="3">
        <v>274</v>
      </c>
      <c r="B275" s="4" t="s">
        <v>660</v>
      </c>
      <c r="C275" s="4" t="s">
        <v>661</v>
      </c>
      <c r="D275" s="4" t="s">
        <v>273</v>
      </c>
      <c r="E275" s="4" t="str">
        <f>HYPERLINK("http://dx.doi.org/10.1098/rstb.2022.0394","http://dx.doi.org/10.1098/rstb.2022.0394")</f>
        <v>http://dx.doi.org/10.1098/rstb.2022.0394</v>
      </c>
    </row>
    <row r="276" spans="1:5" x14ac:dyDescent="0.3">
      <c r="A276" s="3">
        <v>275</v>
      </c>
      <c r="B276" s="4" t="s">
        <v>662</v>
      </c>
      <c r="C276" s="4" t="s">
        <v>663</v>
      </c>
      <c r="D276" s="4" t="s">
        <v>664</v>
      </c>
      <c r="E276" s="4" t="str">
        <f>HYPERLINK("http://dx.doi.org/10.1007/s12571-021-01210-7","http://dx.doi.org/10.1007/s12571-021-01210-7")</f>
        <v>http://dx.doi.org/10.1007/s12571-021-01210-7</v>
      </c>
    </row>
    <row r="277" spans="1:5" x14ac:dyDescent="0.3">
      <c r="A277" s="3">
        <v>276</v>
      </c>
      <c r="B277" s="4" t="s">
        <v>665</v>
      </c>
      <c r="C277" s="4" t="s">
        <v>666</v>
      </c>
      <c r="D277" s="4" t="s">
        <v>667</v>
      </c>
      <c r="E277" s="4" t="str">
        <f>HYPERLINK("http://dx.doi.org/10.1080/14735903.2021.2015085","http://dx.doi.org/10.1080/14735903.2021.2015085")</f>
        <v>http://dx.doi.org/10.1080/14735903.2021.2015085</v>
      </c>
    </row>
    <row r="278" spans="1:5" x14ac:dyDescent="0.3">
      <c r="A278" s="3">
        <v>277</v>
      </c>
      <c r="B278" s="4" t="s">
        <v>668</v>
      </c>
      <c r="C278" s="4" t="s">
        <v>669</v>
      </c>
      <c r="D278" s="4" t="s">
        <v>670</v>
      </c>
      <c r="E278" s="4" t="str">
        <f>HYPERLINK("http://dx.doi.org/10.3390/ijgi11090490","http://dx.doi.org/10.3390/ijgi11090490")</f>
        <v>http://dx.doi.org/10.3390/ijgi11090490</v>
      </c>
    </row>
    <row r="279" spans="1:5" x14ac:dyDescent="0.3">
      <c r="A279" s="3">
        <v>278</v>
      </c>
      <c r="B279" s="4" t="s">
        <v>671</v>
      </c>
      <c r="C279" s="4" t="s">
        <v>672</v>
      </c>
      <c r="D279" s="4" t="s">
        <v>40</v>
      </c>
      <c r="E279" s="4" t="str">
        <f>HYPERLINK("http://dx.doi.org/10.3390/su9081373","http://dx.doi.org/10.3390/su9081373")</f>
        <v>http://dx.doi.org/10.3390/su9081373</v>
      </c>
    </row>
    <row r="280" spans="1:5" x14ac:dyDescent="0.3">
      <c r="A280" s="3">
        <v>279</v>
      </c>
      <c r="B280" s="4" t="s">
        <v>673</v>
      </c>
      <c r="C280" s="4" t="s">
        <v>674</v>
      </c>
      <c r="D280" s="4" t="s">
        <v>675</v>
      </c>
      <c r="E280" s="4" t="str">
        <f>HYPERLINK("http://dx.doi.org/10.1016/j.tree.2016.08.001","http://dx.doi.org/10.1016/j.tree.2016.08.001")</f>
        <v>http://dx.doi.org/10.1016/j.tree.2016.08.001</v>
      </c>
    </row>
    <row r="281" spans="1:5" x14ac:dyDescent="0.3">
      <c r="A281" s="3">
        <v>280</v>
      </c>
      <c r="B281" s="4" t="s">
        <v>676</v>
      </c>
      <c r="C281" s="4" t="s">
        <v>677</v>
      </c>
      <c r="D281" s="4" t="s">
        <v>64</v>
      </c>
      <c r="E281" s="4" t="str">
        <f>HYPERLINK("http://dx.doi.org/10.1080/14693062.2024.2390522","http://dx.doi.org/10.1080/14693062.2024.2390522")</f>
        <v>http://dx.doi.org/10.1080/14693062.2024.2390522</v>
      </c>
    </row>
    <row r="282" spans="1:5" x14ac:dyDescent="0.3">
      <c r="A282" s="3">
        <v>281</v>
      </c>
      <c r="B282" s="4" t="s">
        <v>678</v>
      </c>
      <c r="C282" s="4" t="s">
        <v>679</v>
      </c>
      <c r="D282" s="4" t="s">
        <v>64</v>
      </c>
      <c r="E282" s="4" t="str">
        <f>HYPERLINK("http://dx.doi.org/10.1080/14693062.2016.1258631","http://dx.doi.org/10.1080/14693062.2016.1258631")</f>
        <v>http://dx.doi.org/10.1080/14693062.2016.1258631</v>
      </c>
    </row>
    <row r="283" spans="1:5" x14ac:dyDescent="0.3">
      <c r="A283" s="3">
        <v>282</v>
      </c>
      <c r="B283" s="4" t="s">
        <v>680</v>
      </c>
      <c r="C283" s="4" t="s">
        <v>681</v>
      </c>
      <c r="D283" s="4" t="s">
        <v>207</v>
      </c>
      <c r="E283" s="4" t="str">
        <f>HYPERLINK("http://dx.doi.org/10.1007/s10113-023-02025-2","http://dx.doi.org/10.1007/s10113-023-02025-2")</f>
        <v>http://dx.doi.org/10.1007/s10113-023-02025-2</v>
      </c>
    </row>
    <row r="284" spans="1:5" x14ac:dyDescent="0.3">
      <c r="A284" s="3">
        <v>283</v>
      </c>
      <c r="B284" s="4" t="s">
        <v>682</v>
      </c>
      <c r="C284" s="4" t="s">
        <v>683</v>
      </c>
      <c r="D284" s="4" t="s">
        <v>684</v>
      </c>
      <c r="E284" s="4" t="str">
        <f>HYPERLINK("http://dx.doi.org/10.1111/apv.12033","http://dx.doi.org/10.1111/apv.12033")</f>
        <v>http://dx.doi.org/10.1111/apv.12033</v>
      </c>
    </row>
    <row r="285" spans="1:5" x14ac:dyDescent="0.3">
      <c r="A285" s="3">
        <v>284</v>
      </c>
      <c r="B285" s="4" t="s">
        <v>685</v>
      </c>
      <c r="C285" s="4" t="s">
        <v>686</v>
      </c>
      <c r="D285" s="4" t="s">
        <v>687</v>
      </c>
      <c r="E285" s="4" t="str">
        <f>HYPERLINK("http://dx.doi.org/10.1111/1755-0998.13374","http://dx.doi.org/10.1111/1755-0998.13374")</f>
        <v>http://dx.doi.org/10.1111/1755-0998.13374</v>
      </c>
    </row>
    <row r="286" spans="1:5" x14ac:dyDescent="0.3">
      <c r="A286" s="3">
        <v>285</v>
      </c>
      <c r="B286" s="4" t="s">
        <v>688</v>
      </c>
      <c r="C286" s="4" t="s">
        <v>689</v>
      </c>
      <c r="D286" s="4" t="s">
        <v>40</v>
      </c>
      <c r="E286" s="4" t="str">
        <f>HYPERLINK("http://dx.doi.org/10.3390/su9081408","http://dx.doi.org/10.3390/su9081408")</f>
        <v>http://dx.doi.org/10.3390/su9081408</v>
      </c>
    </row>
    <row r="287" spans="1:5" x14ac:dyDescent="0.3">
      <c r="A287" s="3">
        <v>286</v>
      </c>
      <c r="B287" s="4" t="s">
        <v>690</v>
      </c>
      <c r="C287" s="4" t="s">
        <v>691</v>
      </c>
      <c r="D287" s="4" t="s">
        <v>482</v>
      </c>
      <c r="E287" s="4" t="str">
        <f>HYPERLINK("http://dx.doi.org/10.1007/s11027-021-09966-1","http://dx.doi.org/10.1007/s11027-021-09966-1")</f>
        <v>http://dx.doi.org/10.1007/s11027-021-09966-1</v>
      </c>
    </row>
    <row r="288" spans="1:5" x14ac:dyDescent="0.3">
      <c r="A288" s="3">
        <v>287</v>
      </c>
      <c r="B288" s="4" t="s">
        <v>692</v>
      </c>
      <c r="C288" s="4" t="s">
        <v>693</v>
      </c>
      <c r="D288" s="4" t="s">
        <v>694</v>
      </c>
      <c r="E288" s="4" t="str">
        <f>HYPERLINK("http://dx.doi.org/10.3389/fenvs.2020.590954","http://dx.doi.org/10.3389/fenvs.2020.590954")</f>
        <v>http://dx.doi.org/10.3389/fenvs.2020.590954</v>
      </c>
    </row>
    <row r="289" spans="1:5" x14ac:dyDescent="0.3">
      <c r="A289" s="3">
        <v>288</v>
      </c>
      <c r="B289" s="4" t="s">
        <v>21</v>
      </c>
      <c r="C289" s="4" t="s">
        <v>695</v>
      </c>
      <c r="D289" s="4" t="s">
        <v>34</v>
      </c>
      <c r="E289" s="4" t="str">
        <f>HYPERLINK("http://dx.doi.org/10.1016/j.landurbplan.2023.104834","http://dx.doi.org/10.1016/j.landurbplan.2023.104834")</f>
        <v>http://dx.doi.org/10.1016/j.landurbplan.2023.104834</v>
      </c>
    </row>
    <row r="290" spans="1:5" x14ac:dyDescent="0.3">
      <c r="A290" s="3">
        <v>289</v>
      </c>
      <c r="B290" s="4" t="s">
        <v>696</v>
      </c>
      <c r="C290" s="4" t="s">
        <v>697</v>
      </c>
      <c r="D290" s="4" t="s">
        <v>698</v>
      </c>
      <c r="E290" s="4" t="str">
        <f>HYPERLINK("http://dx.doi.org/10.1108/DPM-08-2023-0211","http://dx.doi.org/10.1108/DPM-08-2023-0211")</f>
        <v>http://dx.doi.org/10.1108/DPM-08-2023-0211</v>
      </c>
    </row>
    <row r="291" spans="1:5" x14ac:dyDescent="0.3">
      <c r="A291" s="3">
        <v>290</v>
      </c>
      <c r="B291" s="4" t="s">
        <v>699</v>
      </c>
      <c r="C291" s="4" t="s">
        <v>700</v>
      </c>
      <c r="D291" s="4" t="s">
        <v>701</v>
      </c>
      <c r="E291" s="4" t="str">
        <f>HYPERLINK("http://dx.doi.org/10.1016/j.enpol.2023.113811","http://dx.doi.org/10.1016/j.enpol.2023.113811")</f>
        <v>http://dx.doi.org/10.1016/j.enpol.2023.113811</v>
      </c>
    </row>
    <row r="292" spans="1:5" x14ac:dyDescent="0.3">
      <c r="A292" s="3">
        <v>291</v>
      </c>
      <c r="B292" s="4" t="s">
        <v>702</v>
      </c>
      <c r="C292" s="4" t="s">
        <v>703</v>
      </c>
      <c r="D292" s="4" t="s">
        <v>34</v>
      </c>
      <c r="E292" s="4" t="str">
        <f>HYPERLINK("http://dx.doi.org/10.1016/j.landurbplan.2013.12.013","http://dx.doi.org/10.1016/j.landurbplan.2013.12.013")</f>
        <v>http://dx.doi.org/10.1016/j.landurbplan.2013.12.013</v>
      </c>
    </row>
    <row r="293" spans="1:5" x14ac:dyDescent="0.3">
      <c r="A293" s="3">
        <v>292</v>
      </c>
      <c r="B293" s="4" t="s">
        <v>704</v>
      </c>
      <c r="C293" s="4" t="s">
        <v>705</v>
      </c>
      <c r="D293" s="4" t="s">
        <v>706</v>
      </c>
      <c r="E293" s="4" t="str">
        <f>HYPERLINK("http://dx.doi.org/10.3390/f13040575","http://dx.doi.org/10.3390/f13040575")</f>
        <v>http://dx.doi.org/10.3390/f13040575</v>
      </c>
    </row>
    <row r="294" spans="1:5" x14ac:dyDescent="0.3">
      <c r="A294" s="3">
        <v>293</v>
      </c>
      <c r="B294" s="4" t="s">
        <v>707</v>
      </c>
      <c r="C294" s="4" t="s">
        <v>708</v>
      </c>
      <c r="D294" s="4" t="s">
        <v>488</v>
      </c>
      <c r="E294" s="4" t="str">
        <f>HYPERLINK("http://dx.doi.org/10.1029/2019WR025462","http://dx.doi.org/10.1029/2019WR025462")</f>
        <v>http://dx.doi.org/10.1029/2019WR025462</v>
      </c>
    </row>
    <row r="295" spans="1:5" x14ac:dyDescent="0.3">
      <c r="A295" s="3">
        <v>294</v>
      </c>
      <c r="B295" s="4" t="s">
        <v>709</v>
      </c>
      <c r="C295" s="4" t="s">
        <v>710</v>
      </c>
      <c r="D295" s="4" t="s">
        <v>155</v>
      </c>
      <c r="E295" s="4" t="str">
        <f>HYPERLINK("http://dx.doi.org/10.5751/ES-05732-180340","http://dx.doi.org/10.5751/ES-05732-180340")</f>
        <v>http://dx.doi.org/10.5751/ES-05732-180340</v>
      </c>
    </row>
    <row r="296" spans="1:5" x14ac:dyDescent="0.3">
      <c r="A296" s="3">
        <v>295</v>
      </c>
      <c r="B296" s="4" t="s">
        <v>711</v>
      </c>
      <c r="C296" s="4" t="s">
        <v>712</v>
      </c>
      <c r="D296" s="4" t="s">
        <v>9</v>
      </c>
      <c r="E296" s="4" t="str">
        <f>HYPERLINK("http://dx.doi.org/10.1016/j.gloenvcha.2015.10.006","http://dx.doi.org/10.1016/j.gloenvcha.2015.10.006")</f>
        <v>http://dx.doi.org/10.1016/j.gloenvcha.2015.10.006</v>
      </c>
    </row>
    <row r="297" spans="1:5" x14ac:dyDescent="0.3">
      <c r="A297" s="3">
        <v>296</v>
      </c>
      <c r="B297" s="4" t="s">
        <v>713</v>
      </c>
      <c r="C297" s="4" t="s">
        <v>714</v>
      </c>
      <c r="D297" s="4" t="s">
        <v>576</v>
      </c>
      <c r="E297" s="4" t="str">
        <f>HYPERLINK("http://dx.doi.org/10.1007/s10668-021-01986-w","http://dx.doi.org/10.1007/s10668-021-01986-w")</f>
        <v>http://dx.doi.org/10.1007/s10668-021-01986-w</v>
      </c>
    </row>
    <row r="298" spans="1:5" x14ac:dyDescent="0.3">
      <c r="A298" s="3">
        <v>297</v>
      </c>
      <c r="B298" s="4" t="s">
        <v>715</v>
      </c>
      <c r="C298" s="4" t="s">
        <v>716</v>
      </c>
      <c r="D298" s="4" t="s">
        <v>371</v>
      </c>
      <c r="E298" s="4" t="str">
        <f>HYPERLINK("http://dx.doi.org/10.1177/08854122221130287","http://dx.doi.org/10.1177/08854122221130287")</f>
        <v>http://dx.doi.org/10.1177/08854122221130287</v>
      </c>
    </row>
    <row r="299" spans="1:5" x14ac:dyDescent="0.3">
      <c r="A299" s="3">
        <v>298</v>
      </c>
      <c r="B299" s="4" t="s">
        <v>717</v>
      </c>
      <c r="C299" s="4" t="s">
        <v>718</v>
      </c>
      <c r="D299" s="4" t="s">
        <v>46</v>
      </c>
      <c r="E299" s="4" t="str">
        <f>HYPERLINK("http://dx.doi.org/10.1007/s10584-014-1273-2","http://dx.doi.org/10.1007/s10584-014-1273-2")</f>
        <v>http://dx.doi.org/10.1007/s10584-014-1273-2</v>
      </c>
    </row>
    <row r="300" spans="1:5" x14ac:dyDescent="0.3">
      <c r="A300" s="3">
        <v>299</v>
      </c>
      <c r="B300" s="4" t="s">
        <v>719</v>
      </c>
      <c r="C300" s="4" t="s">
        <v>720</v>
      </c>
      <c r="D300" s="4" t="s">
        <v>29</v>
      </c>
      <c r="E300" s="4" t="str">
        <f>HYPERLINK("http://dx.doi.org/10.1016/j.envsci.2024.103888","http://dx.doi.org/10.1016/j.envsci.2024.103888")</f>
        <v>http://dx.doi.org/10.1016/j.envsci.2024.103888</v>
      </c>
    </row>
    <row r="301" spans="1:5" x14ac:dyDescent="0.3">
      <c r="A301" s="3">
        <v>300</v>
      </c>
      <c r="B301" s="4" t="s">
        <v>721</v>
      </c>
      <c r="C301" s="4" t="s">
        <v>722</v>
      </c>
      <c r="D301" s="4" t="s">
        <v>116</v>
      </c>
      <c r="E301" s="4" t="str">
        <f>HYPERLINK("http://dx.doi.org/10.1002/wcc.922","http://dx.doi.org/10.1002/wcc.922")</f>
        <v>http://dx.doi.org/10.1002/wcc.922</v>
      </c>
    </row>
    <row r="302" spans="1:5" x14ac:dyDescent="0.3">
      <c r="A302" s="3">
        <v>301</v>
      </c>
      <c r="B302" s="4" t="s">
        <v>723</v>
      </c>
      <c r="C302" s="4" t="s">
        <v>724</v>
      </c>
      <c r="D302" s="4" t="s">
        <v>61</v>
      </c>
      <c r="E302" s="4" t="str">
        <f>HYPERLINK("http://dx.doi.org/10.1080/17565529.2020.1799737","http://dx.doi.org/10.1080/17565529.2020.1799737")</f>
        <v>http://dx.doi.org/10.1080/17565529.2020.1799737</v>
      </c>
    </row>
    <row r="303" spans="1:5" x14ac:dyDescent="0.3">
      <c r="A303" s="3">
        <v>302</v>
      </c>
      <c r="B303" s="4" t="s">
        <v>725</v>
      </c>
      <c r="C303" s="4" t="s">
        <v>726</v>
      </c>
      <c r="D303" s="4" t="s">
        <v>29</v>
      </c>
      <c r="E303" s="4" t="str">
        <f>HYPERLINK("http://dx.doi.org/10.1016/j.envsci.2012.07.002","http://dx.doi.org/10.1016/j.envsci.2012.07.002")</f>
        <v>http://dx.doi.org/10.1016/j.envsci.2012.07.002</v>
      </c>
    </row>
    <row r="304" spans="1:5" x14ac:dyDescent="0.3">
      <c r="A304" s="3">
        <v>303</v>
      </c>
      <c r="B304" s="4" t="s">
        <v>727</v>
      </c>
      <c r="C304" s="4" t="s">
        <v>728</v>
      </c>
      <c r="D304" s="4" t="s">
        <v>591</v>
      </c>
      <c r="E304" s="4" t="str">
        <f>HYPERLINK("http://dx.doi.org/10.1016/j.marpol.2022.105383","http://dx.doi.org/10.1016/j.marpol.2022.105383")</f>
        <v>http://dx.doi.org/10.1016/j.marpol.2022.105383</v>
      </c>
    </row>
    <row r="305" spans="1:5" x14ac:dyDescent="0.3">
      <c r="A305" s="3">
        <v>304</v>
      </c>
      <c r="B305" s="4" t="s">
        <v>729</v>
      </c>
      <c r="C305" s="4" t="s">
        <v>730</v>
      </c>
      <c r="D305" s="4" t="s">
        <v>285</v>
      </c>
      <c r="E305" s="4" t="str">
        <f>HYPERLINK("http://dx.doi.org/10.1016/j.crm.2024.100593","http://dx.doi.org/10.1016/j.crm.2024.100593")</f>
        <v>http://dx.doi.org/10.1016/j.crm.2024.100593</v>
      </c>
    </row>
    <row r="306" spans="1:5" x14ac:dyDescent="0.3">
      <c r="A306" s="3">
        <v>305</v>
      </c>
      <c r="B306" s="4" t="s">
        <v>731</v>
      </c>
      <c r="C306" s="4" t="s">
        <v>732</v>
      </c>
      <c r="D306" s="4" t="s">
        <v>733</v>
      </c>
      <c r="E306" s="4" t="str">
        <f>HYPERLINK("http://dx.doi.org/10.1080/03066150.2023.2282172","http://dx.doi.org/10.1080/03066150.2023.2282172")</f>
        <v>http://dx.doi.org/10.1080/03066150.2023.2282172</v>
      </c>
    </row>
    <row r="307" spans="1:5" x14ac:dyDescent="0.3">
      <c r="A307" s="3">
        <v>306</v>
      </c>
      <c r="B307" s="4" t="s">
        <v>734</v>
      </c>
      <c r="C307" s="4" t="s">
        <v>735</v>
      </c>
      <c r="D307" s="4" t="s">
        <v>138</v>
      </c>
      <c r="E307" s="4" t="str">
        <f>HYPERLINK("http://dx.doi.org/10.1016/j.scs.2024.105956","http://dx.doi.org/10.1016/j.scs.2024.105956")</f>
        <v>http://dx.doi.org/10.1016/j.scs.2024.105956</v>
      </c>
    </row>
    <row r="308" spans="1:5" x14ac:dyDescent="0.3">
      <c r="A308" s="3">
        <v>307</v>
      </c>
      <c r="B308" s="4" t="s">
        <v>736</v>
      </c>
      <c r="C308" s="4" t="s">
        <v>737</v>
      </c>
      <c r="D308" s="4" t="s">
        <v>103</v>
      </c>
      <c r="E308" s="4" t="str">
        <f>HYPERLINK("http://dx.doi.org/10.1007/s10784-016-9345-6","http://dx.doi.org/10.1007/s10784-016-9345-6")</f>
        <v>http://dx.doi.org/10.1007/s10784-016-9345-6</v>
      </c>
    </row>
    <row r="309" spans="1:5" x14ac:dyDescent="0.3">
      <c r="A309" s="3">
        <v>308</v>
      </c>
      <c r="B309" s="4" t="s">
        <v>738</v>
      </c>
      <c r="C309" s="4" t="s">
        <v>739</v>
      </c>
      <c r="D309" s="4" t="s">
        <v>40</v>
      </c>
      <c r="E309" s="4" t="str">
        <f>HYPERLINK("http://dx.doi.org/10.3390/su13168976","http://dx.doi.org/10.3390/su13168976")</f>
        <v>http://dx.doi.org/10.3390/su13168976</v>
      </c>
    </row>
    <row r="310" spans="1:5" x14ac:dyDescent="0.3">
      <c r="A310" s="3">
        <v>309</v>
      </c>
      <c r="B310" s="4" t="s">
        <v>740</v>
      </c>
      <c r="C310" s="4" t="s">
        <v>741</v>
      </c>
      <c r="D310" s="4" t="s">
        <v>326</v>
      </c>
      <c r="E310" s="4" t="str">
        <f>HYPERLINK("http://dx.doi.org/10.1016/j.erss.2024.103504","http://dx.doi.org/10.1016/j.erss.2024.103504")</f>
        <v>http://dx.doi.org/10.1016/j.erss.2024.103504</v>
      </c>
    </row>
    <row r="311" spans="1:5" x14ac:dyDescent="0.3">
      <c r="A311" s="3">
        <v>310</v>
      </c>
      <c r="B311" s="4" t="s">
        <v>742</v>
      </c>
      <c r="C311" s="4" t="s">
        <v>743</v>
      </c>
      <c r="D311" s="4" t="s">
        <v>265</v>
      </c>
      <c r="E311" s="4" t="str">
        <f>HYPERLINK("http://dx.doi.org/10.1016/j.geoforum.2018.08.006","http://dx.doi.org/10.1016/j.geoforum.2018.08.006")</f>
        <v>http://dx.doi.org/10.1016/j.geoforum.2018.08.006</v>
      </c>
    </row>
    <row r="312" spans="1:5" x14ac:dyDescent="0.3">
      <c r="A312" s="3">
        <v>311</v>
      </c>
      <c r="B312" s="4" t="s">
        <v>744</v>
      </c>
      <c r="C312" s="4" t="s">
        <v>745</v>
      </c>
      <c r="D312" s="4" t="s">
        <v>229</v>
      </c>
      <c r="E312" s="4" t="str">
        <f>HYPERLINK("http://dx.doi.org/10.1007/s13280-018-1022-2","http://dx.doi.org/10.1007/s13280-018-1022-2")</f>
        <v>http://dx.doi.org/10.1007/s13280-018-1022-2</v>
      </c>
    </row>
    <row r="313" spans="1:5" x14ac:dyDescent="0.3">
      <c r="A313" s="3">
        <v>312</v>
      </c>
      <c r="B313" s="4" t="s">
        <v>746</v>
      </c>
      <c r="C313" s="4" t="s">
        <v>747</v>
      </c>
      <c r="D313" s="4" t="s">
        <v>748</v>
      </c>
      <c r="E313" s="4" t="str">
        <f>HYPERLINK("http://dx.doi.org/10.1080/00220388.2024.2428608","http://dx.doi.org/10.1080/00220388.2024.2428608")</f>
        <v>http://dx.doi.org/10.1080/00220388.2024.2428608</v>
      </c>
    </row>
    <row r="314" spans="1:5" x14ac:dyDescent="0.3">
      <c r="A314" s="3">
        <v>313</v>
      </c>
      <c r="B314" s="4" t="s">
        <v>749</v>
      </c>
      <c r="C314" s="4" t="s">
        <v>750</v>
      </c>
      <c r="D314" s="4" t="s">
        <v>751</v>
      </c>
      <c r="E314" s="4" t="str">
        <f>HYPERLINK("http://dx.doi.org/10.3390/ijerph19137984","http://dx.doi.org/10.3390/ijerph19137984")</f>
        <v>http://dx.doi.org/10.3390/ijerph19137984</v>
      </c>
    </row>
    <row r="315" spans="1:5" x14ac:dyDescent="0.3">
      <c r="A315" s="3">
        <v>314</v>
      </c>
      <c r="B315" s="4" t="s">
        <v>752</v>
      </c>
      <c r="C315" s="4" t="s">
        <v>753</v>
      </c>
      <c r="D315" s="4" t="s">
        <v>265</v>
      </c>
      <c r="E315" s="4" t="str">
        <f>HYPERLINK("http://dx.doi.org/10.1016/j.geoforum.2020.09.018","http://dx.doi.org/10.1016/j.geoforum.2020.09.018")</f>
        <v>http://dx.doi.org/10.1016/j.geoforum.2020.09.018</v>
      </c>
    </row>
    <row r="316" spans="1:5" x14ac:dyDescent="0.3">
      <c r="A316" s="3">
        <v>315</v>
      </c>
      <c r="B316" s="4" t="s">
        <v>754</v>
      </c>
      <c r="C316" s="4" t="s">
        <v>755</v>
      </c>
      <c r="D316" s="4" t="s">
        <v>40</v>
      </c>
      <c r="E316" s="4" t="str">
        <f>HYPERLINK("http://dx.doi.org/10.3390/su131910617","http://dx.doi.org/10.3390/su131910617")</f>
        <v>http://dx.doi.org/10.3390/su131910617</v>
      </c>
    </row>
    <row r="317" spans="1:5" x14ac:dyDescent="0.3">
      <c r="A317" s="3">
        <v>316</v>
      </c>
      <c r="B317" s="4" t="s">
        <v>756</v>
      </c>
      <c r="C317" s="4" t="s">
        <v>757</v>
      </c>
      <c r="D317" s="4" t="s">
        <v>135</v>
      </c>
      <c r="E317" s="4" t="str">
        <f>HYPERLINK("http://dx.doi.org/10.1177/09562478241230498","http://dx.doi.org/10.1177/09562478241230498")</f>
        <v>http://dx.doi.org/10.1177/09562478241230498</v>
      </c>
    </row>
    <row r="318" spans="1:5" x14ac:dyDescent="0.3">
      <c r="A318" s="3">
        <v>317</v>
      </c>
      <c r="B318" s="4" t="s">
        <v>758</v>
      </c>
      <c r="C318" s="4" t="s">
        <v>759</v>
      </c>
      <c r="D318" s="4" t="s">
        <v>760</v>
      </c>
      <c r="E318" s="4" t="str">
        <f>HYPERLINK("http://dx.doi.org/10.1016/j.ecolind.2024.112374","http://dx.doi.org/10.1016/j.ecolind.2024.112374")</f>
        <v>http://dx.doi.org/10.1016/j.ecolind.2024.112374</v>
      </c>
    </row>
    <row r="319" spans="1:5" x14ac:dyDescent="0.3">
      <c r="A319" s="3">
        <v>318</v>
      </c>
      <c r="B319" s="4" t="s">
        <v>761</v>
      </c>
      <c r="C319" s="4" t="s">
        <v>762</v>
      </c>
      <c r="D319" s="4" t="s">
        <v>207</v>
      </c>
      <c r="E319" s="4" t="str">
        <f>HYPERLINK("http://dx.doi.org/10.1007/s10113-020-01585-x","http://dx.doi.org/10.1007/s10113-020-01585-x")</f>
        <v>http://dx.doi.org/10.1007/s10113-020-01585-x</v>
      </c>
    </row>
    <row r="320" spans="1:5" x14ac:dyDescent="0.3">
      <c r="A320" s="3">
        <v>319</v>
      </c>
      <c r="B320" s="4" t="s">
        <v>763</v>
      </c>
      <c r="C320" s="4" t="s">
        <v>764</v>
      </c>
      <c r="D320" s="4" t="s">
        <v>765</v>
      </c>
      <c r="E320" s="4" t="str">
        <f>HYPERLINK("http://dx.doi.org/10.1680/muen.15.00003","http://dx.doi.org/10.1680/muen.15.00003")</f>
        <v>http://dx.doi.org/10.1680/muen.15.00003</v>
      </c>
    </row>
    <row r="321" spans="1:5" x14ac:dyDescent="0.3">
      <c r="A321" s="3">
        <v>320</v>
      </c>
      <c r="B321" s="4" t="s">
        <v>766</v>
      </c>
      <c r="C321" s="4" t="s">
        <v>767</v>
      </c>
      <c r="D321" s="4" t="s">
        <v>768</v>
      </c>
      <c r="E321" s="4" t="str">
        <f>HYPERLINK("http://dx.doi.org/10.1017/S1816383110000561","http://dx.doi.org/10.1017/S1816383110000561")</f>
        <v>http://dx.doi.org/10.1017/S1816383110000561</v>
      </c>
    </row>
    <row r="322" spans="1:5" x14ac:dyDescent="0.3">
      <c r="A322" s="3">
        <v>321</v>
      </c>
      <c r="B322" s="4" t="s">
        <v>769</v>
      </c>
      <c r="C322" s="4" t="s">
        <v>770</v>
      </c>
      <c r="D322" s="4" t="s">
        <v>501</v>
      </c>
      <c r="E322" s="4" t="str">
        <f>HYPERLINK("http://dx.doi.org/10.1080/09669582.2022.2137729","http://dx.doi.org/10.1080/09669582.2022.2137729")</f>
        <v>http://dx.doi.org/10.1080/09669582.2022.2137729</v>
      </c>
    </row>
    <row r="323" spans="1:5" x14ac:dyDescent="0.3">
      <c r="A323" s="3">
        <v>322</v>
      </c>
      <c r="B323" s="4" t="s">
        <v>771</v>
      </c>
      <c r="C323" s="4" t="s">
        <v>772</v>
      </c>
      <c r="D323" s="4" t="s">
        <v>67</v>
      </c>
      <c r="E323" s="4" t="str">
        <f>HYPERLINK("http://dx.doi.org/10.1016/j.worlddev.2020.104901","http://dx.doi.org/10.1016/j.worlddev.2020.104901")</f>
        <v>http://dx.doi.org/10.1016/j.worlddev.2020.104901</v>
      </c>
    </row>
    <row r="324" spans="1:5" x14ac:dyDescent="0.3">
      <c r="A324" s="3">
        <v>323</v>
      </c>
      <c r="B324" s="4" t="s">
        <v>773</v>
      </c>
      <c r="C324" s="4" t="s">
        <v>774</v>
      </c>
      <c r="D324" s="4" t="s">
        <v>775</v>
      </c>
      <c r="E324" s="4" t="str">
        <f>HYPERLINK("http://dx.doi.org/10.1177/00027642211013389","http://dx.doi.org/10.1177/00027642211013389")</f>
        <v>http://dx.doi.org/10.1177/00027642211013389</v>
      </c>
    </row>
    <row r="325" spans="1:5" x14ac:dyDescent="0.3">
      <c r="A325" s="3">
        <v>324</v>
      </c>
      <c r="B325" s="4" t="s">
        <v>776</v>
      </c>
      <c r="C325" s="4" t="s">
        <v>777</v>
      </c>
      <c r="D325" s="4" t="s">
        <v>61</v>
      </c>
      <c r="E325" s="4" t="str">
        <f>HYPERLINK("http://dx.doi.org/10.1080/17565529.2020.1711698","http://dx.doi.org/10.1080/17565529.2020.1711698")</f>
        <v>http://dx.doi.org/10.1080/17565529.2020.1711698</v>
      </c>
    </row>
    <row r="326" spans="1:5" x14ac:dyDescent="0.3">
      <c r="A326" s="3">
        <v>325</v>
      </c>
      <c r="B326" s="4" t="s">
        <v>778</v>
      </c>
      <c r="C326" s="4" t="s">
        <v>779</v>
      </c>
      <c r="D326" s="4" t="s">
        <v>780</v>
      </c>
      <c r="E326" s="4" t="str">
        <f>HYPERLINK("http://dx.doi.org/10.1080/17524032.2019.1659840","http://dx.doi.org/10.1080/17524032.2019.1659840")</f>
        <v>http://dx.doi.org/10.1080/17524032.2019.1659840</v>
      </c>
    </row>
    <row r="327" spans="1:5" x14ac:dyDescent="0.3">
      <c r="A327" s="3">
        <v>326</v>
      </c>
      <c r="B327" s="4" t="s">
        <v>781</v>
      </c>
      <c r="C327" s="4" t="s">
        <v>782</v>
      </c>
      <c r="D327" s="4" t="s">
        <v>29</v>
      </c>
      <c r="E327" s="4" t="str">
        <f>HYPERLINK("http://dx.doi.org/10.1016/j.envsci.2018.11.002","http://dx.doi.org/10.1016/j.envsci.2018.11.002")</f>
        <v>http://dx.doi.org/10.1016/j.envsci.2018.11.002</v>
      </c>
    </row>
    <row r="328" spans="1:5" x14ac:dyDescent="0.3">
      <c r="A328" s="3">
        <v>327</v>
      </c>
      <c r="B328" s="4" t="s">
        <v>783</v>
      </c>
      <c r="C328" s="4" t="s">
        <v>784</v>
      </c>
      <c r="D328" s="4" t="s">
        <v>785</v>
      </c>
      <c r="E328" s="4" t="str">
        <f>HYPERLINK("http://dx.doi.org/10.1080/10464883.2024.2381432","http://dx.doi.org/10.1080/10464883.2024.2381432")</f>
        <v>http://dx.doi.org/10.1080/10464883.2024.2381432</v>
      </c>
    </row>
    <row r="329" spans="1:5" x14ac:dyDescent="0.3">
      <c r="A329" s="3">
        <v>328</v>
      </c>
      <c r="B329" s="4" t="s">
        <v>786</v>
      </c>
      <c r="C329" s="4" t="s">
        <v>787</v>
      </c>
      <c r="D329" s="4" t="s">
        <v>788</v>
      </c>
      <c r="E329" s="4" t="str">
        <f>HYPERLINK("http://dx.doi.org/10.1080/01944363.2023.2214121","http://dx.doi.org/10.1080/01944363.2023.2214121")</f>
        <v>http://dx.doi.org/10.1080/01944363.2023.2214121</v>
      </c>
    </row>
    <row r="330" spans="1:5" x14ac:dyDescent="0.3">
      <c r="A330" s="3">
        <v>329</v>
      </c>
      <c r="B330" s="4" t="s">
        <v>789</v>
      </c>
      <c r="C330" s="4" t="s">
        <v>790</v>
      </c>
      <c r="D330" s="4" t="s">
        <v>791</v>
      </c>
      <c r="E330" s="4" t="str">
        <f>HYPERLINK("http://dx.doi.org/10.1086/728887","http://dx.doi.org/10.1086/728887")</f>
        <v>http://dx.doi.org/10.1086/728887</v>
      </c>
    </row>
    <row r="331" spans="1:5" x14ac:dyDescent="0.3">
      <c r="A331" s="3">
        <v>330</v>
      </c>
      <c r="B331" s="4" t="s">
        <v>792</v>
      </c>
      <c r="C331" s="4" t="s">
        <v>793</v>
      </c>
      <c r="D331" s="4" t="s">
        <v>701</v>
      </c>
      <c r="E331" s="4" t="str">
        <f>HYPERLINK("http://dx.doi.org/10.1016/j.enpol.2009.09.026","http://dx.doi.org/10.1016/j.enpol.2009.09.026")</f>
        <v>http://dx.doi.org/10.1016/j.enpol.2009.09.026</v>
      </c>
    </row>
    <row r="332" spans="1:5" x14ac:dyDescent="0.3">
      <c r="A332" s="3">
        <v>331</v>
      </c>
      <c r="B332" s="4" t="s">
        <v>794</v>
      </c>
      <c r="C332" s="4" t="s">
        <v>795</v>
      </c>
      <c r="D332" s="4" t="s">
        <v>15</v>
      </c>
      <c r="E332" s="4" t="str">
        <f>HYPERLINK("http://dx.doi.org/10.1080/13549839.2020.1712340","http://dx.doi.org/10.1080/13549839.2020.1712340")</f>
        <v>http://dx.doi.org/10.1080/13549839.2020.1712340</v>
      </c>
    </row>
    <row r="333" spans="1:5" x14ac:dyDescent="0.3">
      <c r="A333" s="3">
        <v>332</v>
      </c>
      <c r="B333" s="4" t="s">
        <v>796</v>
      </c>
      <c r="C333" s="4" t="s">
        <v>797</v>
      </c>
      <c r="D333" s="4" t="s">
        <v>798</v>
      </c>
      <c r="E333" s="4" t="str">
        <f>HYPERLINK("http://dx.doi.org/10.1016/j.jeem.2020.102381","http://dx.doi.org/10.1016/j.jeem.2020.102381")</f>
        <v>http://dx.doi.org/10.1016/j.jeem.2020.102381</v>
      </c>
    </row>
    <row r="334" spans="1:5" x14ac:dyDescent="0.3">
      <c r="A334" s="3">
        <v>333</v>
      </c>
      <c r="B334" s="4" t="s">
        <v>799</v>
      </c>
      <c r="C334" s="4" t="s">
        <v>800</v>
      </c>
      <c r="D334" s="4" t="s">
        <v>591</v>
      </c>
      <c r="E334" s="4" t="str">
        <f>HYPERLINK("http://dx.doi.org/10.1016/j.marpol.2023.105626","http://dx.doi.org/10.1016/j.marpol.2023.105626")</f>
        <v>http://dx.doi.org/10.1016/j.marpol.2023.105626</v>
      </c>
    </row>
    <row r="335" spans="1:5" x14ac:dyDescent="0.3">
      <c r="A335" s="3">
        <v>334</v>
      </c>
      <c r="B335" s="4" t="s">
        <v>801</v>
      </c>
      <c r="C335" s="4" t="s">
        <v>802</v>
      </c>
      <c r="D335" s="4" t="s">
        <v>46</v>
      </c>
      <c r="E335" s="4" t="str">
        <f>HYPERLINK("http://dx.doi.org/10.1007/s10584-018-2205-3","http://dx.doi.org/10.1007/s10584-018-2205-3")</f>
        <v>http://dx.doi.org/10.1007/s10584-018-2205-3</v>
      </c>
    </row>
    <row r="336" spans="1:5" x14ac:dyDescent="0.3">
      <c r="A336" s="3">
        <v>335</v>
      </c>
      <c r="B336" s="4" t="s">
        <v>803</v>
      </c>
      <c r="C336" s="4" t="s">
        <v>804</v>
      </c>
      <c r="D336" s="4" t="s">
        <v>15</v>
      </c>
      <c r="E336" s="4" t="str">
        <f>HYPERLINK("http://dx.doi.org/10.1080/13549839.2018.1548010","http://dx.doi.org/10.1080/13549839.2018.1548010")</f>
        <v>http://dx.doi.org/10.1080/13549839.2018.1548010</v>
      </c>
    </row>
    <row r="337" spans="1:5" x14ac:dyDescent="0.3">
      <c r="A337" s="3">
        <v>336</v>
      </c>
      <c r="B337" s="4" t="s">
        <v>47</v>
      </c>
      <c r="C337" s="4" t="s">
        <v>805</v>
      </c>
      <c r="D337" s="4" t="s">
        <v>155</v>
      </c>
      <c r="E337" s="4" t="str">
        <f>HYPERLINK("http://dx.doi.org/10.5751/ES-05929-180448","http://dx.doi.org/10.5751/ES-05929-180448")</f>
        <v>http://dx.doi.org/10.5751/ES-05929-180448</v>
      </c>
    </row>
    <row r="338" spans="1:5" x14ac:dyDescent="0.3">
      <c r="A338" s="3">
        <v>337</v>
      </c>
      <c r="B338" s="4" t="s">
        <v>806</v>
      </c>
      <c r="C338" s="4" t="s">
        <v>807</v>
      </c>
      <c r="D338" s="4" t="s">
        <v>116</v>
      </c>
      <c r="E338" s="4" t="str">
        <f>HYPERLINK("http://dx.doi.org/10.1002/wcc.617","http://dx.doi.org/10.1002/wcc.617")</f>
        <v>http://dx.doi.org/10.1002/wcc.617</v>
      </c>
    </row>
    <row r="339" spans="1:5" x14ac:dyDescent="0.3">
      <c r="A339" s="3">
        <v>338</v>
      </c>
      <c r="B339" s="4" t="s">
        <v>808</v>
      </c>
      <c r="C339" s="4" t="s">
        <v>809</v>
      </c>
      <c r="D339" s="4" t="s">
        <v>40</v>
      </c>
      <c r="E339" s="4" t="str">
        <f>HYPERLINK("http://dx.doi.org/10.3390/su131810162","http://dx.doi.org/10.3390/su131810162")</f>
        <v>http://dx.doi.org/10.3390/su131810162</v>
      </c>
    </row>
    <row r="340" spans="1:5" x14ac:dyDescent="0.3">
      <c r="A340" s="3">
        <v>339</v>
      </c>
      <c r="B340" s="4" t="s">
        <v>810</v>
      </c>
      <c r="C340" s="4" t="s">
        <v>811</v>
      </c>
      <c r="D340" s="4" t="s">
        <v>64</v>
      </c>
      <c r="E340" s="4" t="str">
        <f>HYPERLINK("http://dx.doi.org/10.1080/14693062.2024.2377730","http://dx.doi.org/10.1080/14693062.2024.2377730")</f>
        <v>http://dx.doi.org/10.1080/14693062.2024.2377730</v>
      </c>
    </row>
    <row r="341" spans="1:5" x14ac:dyDescent="0.3">
      <c r="A341" s="3">
        <v>340</v>
      </c>
      <c r="B341" s="4" t="s">
        <v>812</v>
      </c>
      <c r="C341" s="4" t="s">
        <v>813</v>
      </c>
      <c r="D341" s="4" t="s">
        <v>6</v>
      </c>
      <c r="E341" s="4" t="str">
        <f>HYPERLINK("http://dx.doi.org/10.1007/s40641-020-00166-8","http://dx.doi.org/10.1007/s40641-020-00166-8")</f>
        <v>http://dx.doi.org/10.1007/s40641-020-00166-8</v>
      </c>
    </row>
    <row r="342" spans="1:5" x14ac:dyDescent="0.3">
      <c r="A342" s="3">
        <v>341</v>
      </c>
      <c r="B342" s="4" t="s">
        <v>814</v>
      </c>
      <c r="C342" s="4" t="s">
        <v>815</v>
      </c>
      <c r="D342" s="4" t="s">
        <v>788</v>
      </c>
      <c r="E342" s="4" t="str">
        <f>HYPERLINK("http://dx.doi.org/10.1080/01944363.2024.2330943","http://dx.doi.org/10.1080/01944363.2024.2330943")</f>
        <v>http://dx.doi.org/10.1080/01944363.2024.2330943</v>
      </c>
    </row>
    <row r="343" spans="1:5" x14ac:dyDescent="0.3">
      <c r="A343" s="3">
        <v>342</v>
      </c>
      <c r="B343" s="4" t="s">
        <v>816</v>
      </c>
      <c r="C343" s="4" t="s">
        <v>817</v>
      </c>
      <c r="D343" s="4" t="s">
        <v>818</v>
      </c>
      <c r="E343" s="4" t="str">
        <f>HYPERLINK("http://dx.doi.org/10.3390/land13071022","http://dx.doi.org/10.3390/land13071022")</f>
        <v>http://dx.doi.org/10.3390/land13071022</v>
      </c>
    </row>
    <row r="344" spans="1:5" x14ac:dyDescent="0.3">
      <c r="A344" s="3">
        <v>343</v>
      </c>
      <c r="B344" s="4" t="s">
        <v>819</v>
      </c>
      <c r="C344" s="4" t="s">
        <v>820</v>
      </c>
      <c r="D344" s="4" t="s">
        <v>9</v>
      </c>
      <c r="E344" s="4" t="str">
        <f>HYPERLINK("http://dx.doi.org/10.1016/j.gloenvcha.2020.102132","http://dx.doi.org/10.1016/j.gloenvcha.2020.102132")</f>
        <v>http://dx.doi.org/10.1016/j.gloenvcha.2020.102132</v>
      </c>
    </row>
    <row r="345" spans="1:5" x14ac:dyDescent="0.3">
      <c r="A345" s="3">
        <v>344</v>
      </c>
      <c r="B345" s="4" t="s">
        <v>821</v>
      </c>
      <c r="C345" s="4" t="s">
        <v>822</v>
      </c>
      <c r="D345" s="4" t="s">
        <v>694</v>
      </c>
      <c r="E345" s="4" t="str">
        <f>HYPERLINK("http://dx.doi.org/10.3389/fenvs.2019.00002","http://dx.doi.org/10.3389/fenvs.2019.00002")</f>
        <v>http://dx.doi.org/10.3389/fenvs.2019.00002</v>
      </c>
    </row>
    <row r="346" spans="1:5" x14ac:dyDescent="0.3">
      <c r="A346" s="3">
        <v>345</v>
      </c>
      <c r="B346" s="4" t="s">
        <v>823</v>
      </c>
      <c r="C346" s="4" t="s">
        <v>824</v>
      </c>
      <c r="D346" s="4" t="s">
        <v>207</v>
      </c>
      <c r="E346" s="4" t="str">
        <f>HYPERLINK("http://dx.doi.org/10.1007/s10113-022-01951-x","http://dx.doi.org/10.1007/s10113-022-01951-x")</f>
        <v>http://dx.doi.org/10.1007/s10113-022-01951-x</v>
      </c>
    </row>
    <row r="347" spans="1:5" x14ac:dyDescent="0.3">
      <c r="A347" s="3">
        <v>346</v>
      </c>
      <c r="B347" s="4" t="s">
        <v>825</v>
      </c>
      <c r="C347" s="4" t="s">
        <v>826</v>
      </c>
      <c r="D347" s="4" t="s">
        <v>827</v>
      </c>
      <c r="E347" s="4" t="str">
        <f>HYPERLINK("http://dx.doi.org/10.1111/socf.12998","http://dx.doi.org/10.1111/socf.12998")</f>
        <v>http://dx.doi.org/10.1111/socf.12998</v>
      </c>
    </row>
    <row r="348" spans="1:5" x14ac:dyDescent="0.3">
      <c r="A348" s="3">
        <v>347</v>
      </c>
      <c r="B348" s="4" t="s">
        <v>828</v>
      </c>
      <c r="C348" s="4" t="s">
        <v>829</v>
      </c>
      <c r="D348" s="4" t="s">
        <v>241</v>
      </c>
      <c r="E348" s="4" t="str">
        <f>HYPERLINK("http://dx.doi.org/10.1016/j.ocecoaman.2021.105809","http://dx.doi.org/10.1016/j.ocecoaman.2021.105809")</f>
        <v>http://dx.doi.org/10.1016/j.ocecoaman.2021.105809</v>
      </c>
    </row>
    <row r="349" spans="1:5" x14ac:dyDescent="0.3">
      <c r="A349" s="3">
        <v>348</v>
      </c>
      <c r="B349" s="4" t="s">
        <v>830</v>
      </c>
      <c r="C349" s="4" t="s">
        <v>831</v>
      </c>
      <c r="D349" s="4" t="s">
        <v>832</v>
      </c>
      <c r="E349" s="4" t="str">
        <f>HYPERLINK("http://dx.doi.org/10.1016/j.buildenv.2024.112052","http://dx.doi.org/10.1016/j.buildenv.2024.112052")</f>
        <v>http://dx.doi.org/10.1016/j.buildenv.2024.112052</v>
      </c>
    </row>
    <row r="350" spans="1:5" x14ac:dyDescent="0.3">
      <c r="A350" s="3">
        <v>349</v>
      </c>
      <c r="B350" s="4" t="s">
        <v>833</v>
      </c>
      <c r="C350" s="4" t="s">
        <v>834</v>
      </c>
      <c r="D350" s="4" t="s">
        <v>222</v>
      </c>
      <c r="E350" s="4" t="s">
        <v>167</v>
      </c>
    </row>
    <row r="351" spans="1:5" x14ac:dyDescent="0.3">
      <c r="A351" s="3">
        <v>350</v>
      </c>
      <c r="B351" s="4" t="s">
        <v>835</v>
      </c>
      <c r="C351" s="4" t="s">
        <v>836</v>
      </c>
      <c r="D351" s="4" t="s">
        <v>751</v>
      </c>
      <c r="E351" s="4" t="str">
        <f>HYPERLINK("http://dx.doi.org/10.3390/ijerph18030941","http://dx.doi.org/10.3390/ijerph18030941")</f>
        <v>http://dx.doi.org/10.3390/ijerph18030941</v>
      </c>
    </row>
    <row r="352" spans="1:5" x14ac:dyDescent="0.3">
      <c r="A352" s="3">
        <v>351</v>
      </c>
      <c r="B352" s="4" t="s">
        <v>837</v>
      </c>
      <c r="C352" s="4" t="s">
        <v>838</v>
      </c>
      <c r="D352" s="4" t="s">
        <v>576</v>
      </c>
      <c r="E352" s="4" t="str">
        <f>HYPERLINK("http://dx.doi.org/10.1007/s10668-019-00414-4","http://dx.doi.org/10.1007/s10668-019-00414-4")</f>
        <v>http://dx.doi.org/10.1007/s10668-019-00414-4</v>
      </c>
    </row>
    <row r="353" spans="1:5" x14ac:dyDescent="0.3">
      <c r="A353" s="3">
        <v>352</v>
      </c>
      <c r="B353" s="4" t="s">
        <v>839</v>
      </c>
      <c r="C353" s="4" t="s">
        <v>840</v>
      </c>
      <c r="D353" s="4" t="s">
        <v>567</v>
      </c>
      <c r="E353" s="4" t="str">
        <f>HYPERLINK("http://dx.doi.org/10.1080/02723638.2024.2336852","http://dx.doi.org/10.1080/02723638.2024.2336852")</f>
        <v>http://dx.doi.org/10.1080/02723638.2024.2336852</v>
      </c>
    </row>
    <row r="354" spans="1:5" x14ac:dyDescent="0.3">
      <c r="A354" s="3">
        <v>353</v>
      </c>
      <c r="B354" s="4" t="s">
        <v>841</v>
      </c>
      <c r="C354" s="4" t="s">
        <v>842</v>
      </c>
      <c r="D354" s="4" t="s">
        <v>116</v>
      </c>
      <c r="E354" s="4" t="str">
        <f>HYPERLINK("http://dx.doi.org/10.1002/wcc.402","http://dx.doi.org/10.1002/wcc.402")</f>
        <v>http://dx.doi.org/10.1002/wcc.402</v>
      </c>
    </row>
    <row r="355" spans="1:5" x14ac:dyDescent="0.3">
      <c r="A355" s="3">
        <v>354</v>
      </c>
      <c r="B355" s="4" t="s">
        <v>843</v>
      </c>
      <c r="C355" s="4" t="s">
        <v>844</v>
      </c>
      <c r="D355" s="4" t="s">
        <v>482</v>
      </c>
      <c r="E355" s="4" t="str">
        <f>HYPERLINK("http://dx.doi.org/10.1007/s11027-023-10045-w","http://dx.doi.org/10.1007/s11027-023-10045-w")</f>
        <v>http://dx.doi.org/10.1007/s11027-023-10045-w</v>
      </c>
    </row>
    <row r="356" spans="1:5" x14ac:dyDescent="0.3">
      <c r="A356" s="3">
        <v>355</v>
      </c>
      <c r="B356" s="4" t="s">
        <v>845</v>
      </c>
      <c r="C356" s="4" t="s">
        <v>846</v>
      </c>
      <c r="D356" s="4" t="s">
        <v>29</v>
      </c>
      <c r="E356" s="4" t="str">
        <f>HYPERLINK("http://dx.doi.org/10.1016/j.envsci.2016.10.003","http://dx.doi.org/10.1016/j.envsci.2016.10.003")</f>
        <v>http://dx.doi.org/10.1016/j.envsci.2016.10.003</v>
      </c>
    </row>
    <row r="357" spans="1:5" x14ac:dyDescent="0.3">
      <c r="A357" s="3">
        <v>356</v>
      </c>
      <c r="B357" s="4" t="s">
        <v>847</v>
      </c>
      <c r="C357" s="4" t="s">
        <v>848</v>
      </c>
      <c r="D357" s="4" t="s">
        <v>46</v>
      </c>
      <c r="E357" s="4" t="str">
        <f>HYPERLINK("http://dx.doi.org/10.1007/s10584-021-03169-y","http://dx.doi.org/10.1007/s10584-021-03169-y")</f>
        <v>http://dx.doi.org/10.1007/s10584-021-03169-y</v>
      </c>
    </row>
    <row r="358" spans="1:5" x14ac:dyDescent="0.3">
      <c r="A358" s="3">
        <v>357</v>
      </c>
      <c r="B358" s="4" t="s">
        <v>849</v>
      </c>
      <c r="C358" s="4" t="s">
        <v>850</v>
      </c>
      <c r="D358" s="4" t="s">
        <v>9</v>
      </c>
      <c r="E358" s="4" t="str">
        <f>HYPERLINK("http://dx.doi.org/10.1016/j.gloenvcha.2019.03.008","http://dx.doi.org/10.1016/j.gloenvcha.2019.03.008")</f>
        <v>http://dx.doi.org/10.1016/j.gloenvcha.2019.03.008</v>
      </c>
    </row>
    <row r="359" spans="1:5" x14ac:dyDescent="0.3">
      <c r="A359" s="3">
        <v>358</v>
      </c>
      <c r="B359" s="4" t="s">
        <v>851</v>
      </c>
      <c r="C359" s="4" t="s">
        <v>852</v>
      </c>
      <c r="D359" s="4" t="s">
        <v>135</v>
      </c>
      <c r="E359" s="4" t="str">
        <f>HYPERLINK("http://dx.doi.org/10.1177/0956247813477814","http://dx.doi.org/10.1177/0956247813477814")</f>
        <v>http://dx.doi.org/10.1177/0956247813477814</v>
      </c>
    </row>
    <row r="360" spans="1:5" x14ac:dyDescent="0.3">
      <c r="A360" s="3">
        <v>359</v>
      </c>
      <c r="B360" s="4" t="s">
        <v>853</v>
      </c>
      <c r="C360" s="4" t="s">
        <v>854</v>
      </c>
      <c r="D360" s="4" t="s">
        <v>155</v>
      </c>
      <c r="E360" s="4" t="str">
        <f>HYPERLINK("http://dx.doi.org/10.5751/ES-06509-190253","http://dx.doi.org/10.5751/ES-06509-190253")</f>
        <v>http://dx.doi.org/10.5751/ES-06509-190253</v>
      </c>
    </row>
    <row r="361" spans="1:5" x14ac:dyDescent="0.3">
      <c r="A361" s="3">
        <v>360</v>
      </c>
      <c r="B361" s="4" t="s">
        <v>855</v>
      </c>
      <c r="C361" s="4" t="s">
        <v>856</v>
      </c>
      <c r="D361" s="4" t="s">
        <v>160</v>
      </c>
      <c r="E361" s="4" t="str">
        <f>HYPERLINK("http://dx.doi.org/10.1080/1523908X.2023.2279059","http://dx.doi.org/10.1080/1523908X.2023.2279059")</f>
        <v>http://dx.doi.org/10.1080/1523908X.2023.2279059</v>
      </c>
    </row>
    <row r="362" spans="1:5" x14ac:dyDescent="0.3">
      <c r="A362" s="3">
        <v>361</v>
      </c>
      <c r="B362" s="4" t="s">
        <v>857</v>
      </c>
      <c r="C362" s="4" t="s">
        <v>858</v>
      </c>
      <c r="D362" s="4" t="s">
        <v>241</v>
      </c>
      <c r="E362" s="4" t="str">
        <f>HYPERLINK("http://dx.doi.org/10.1016/j.ocecoaman.2019.105023","http://dx.doi.org/10.1016/j.ocecoaman.2019.105023")</f>
        <v>http://dx.doi.org/10.1016/j.ocecoaman.2019.105023</v>
      </c>
    </row>
    <row r="363" spans="1:5" x14ac:dyDescent="0.3">
      <c r="A363" s="3">
        <v>362</v>
      </c>
      <c r="B363" s="4" t="s">
        <v>859</v>
      </c>
      <c r="C363" s="4" t="s">
        <v>860</v>
      </c>
      <c r="D363" s="4" t="s">
        <v>20</v>
      </c>
      <c r="E363" s="4" t="str">
        <f>HYPERLINK("http://dx.doi.org/10.1088/1748-9326/ad4ef8","http://dx.doi.org/10.1088/1748-9326/ad4ef8")</f>
        <v>http://dx.doi.org/10.1088/1748-9326/ad4ef8</v>
      </c>
    </row>
    <row r="364" spans="1:5" x14ac:dyDescent="0.3">
      <c r="A364" s="3">
        <v>363</v>
      </c>
      <c r="B364" s="4" t="s">
        <v>861</v>
      </c>
      <c r="C364" s="4" t="s">
        <v>862</v>
      </c>
      <c r="D364" s="4" t="s">
        <v>863</v>
      </c>
      <c r="E364" s="4" t="str">
        <f>HYPERLINK("http://dx.doi.org/10.1080/08920753.2020.1803575","http://dx.doi.org/10.1080/08920753.2020.1803575")</f>
        <v>http://dx.doi.org/10.1080/08920753.2020.1803575</v>
      </c>
    </row>
    <row r="365" spans="1:5" x14ac:dyDescent="0.3">
      <c r="A365" s="3">
        <v>364</v>
      </c>
      <c r="B365" s="4" t="s">
        <v>864</v>
      </c>
      <c r="C365" s="4" t="s">
        <v>865</v>
      </c>
      <c r="D365" s="4" t="s">
        <v>866</v>
      </c>
      <c r="E365" s="4" t="str">
        <f>HYPERLINK("http://dx.doi.org/10.1186/s12302-019-0222-0","http://dx.doi.org/10.1186/s12302-019-0222-0")</f>
        <v>http://dx.doi.org/10.1186/s12302-019-0222-0</v>
      </c>
    </row>
    <row r="366" spans="1:5" x14ac:dyDescent="0.3">
      <c r="A366" s="3">
        <v>365</v>
      </c>
      <c r="B366" s="4" t="s">
        <v>867</v>
      </c>
      <c r="C366" s="4" t="s">
        <v>868</v>
      </c>
      <c r="D366" s="4" t="s">
        <v>869</v>
      </c>
      <c r="E366" s="4" t="str">
        <f>HYPERLINK("http://dx.doi.org/10.1142/S2010007821500123","http://dx.doi.org/10.1142/S2010007821500123")</f>
        <v>http://dx.doi.org/10.1142/S2010007821500123</v>
      </c>
    </row>
    <row r="367" spans="1:5" x14ac:dyDescent="0.3">
      <c r="A367" s="3">
        <v>366</v>
      </c>
      <c r="B367" s="4" t="s">
        <v>870</v>
      </c>
      <c r="C367" s="4" t="s">
        <v>871</v>
      </c>
      <c r="D367" s="4" t="s">
        <v>371</v>
      </c>
      <c r="E367" s="4" t="str">
        <f>HYPERLINK("http://dx.doi.org/10.1177/08854122221128762","http://dx.doi.org/10.1177/08854122221128762")</f>
        <v>http://dx.doi.org/10.1177/08854122221128762</v>
      </c>
    </row>
    <row r="368" spans="1:5" x14ac:dyDescent="0.3">
      <c r="A368" s="3">
        <v>367</v>
      </c>
      <c r="B368" s="4" t="s">
        <v>872</v>
      </c>
      <c r="C368" s="4" t="s">
        <v>873</v>
      </c>
      <c r="D368" s="4" t="s">
        <v>53</v>
      </c>
      <c r="E368" s="4" t="str">
        <f>HYPERLINK("http://dx.doi.org/10.1177/0739456X19861144","http://dx.doi.org/10.1177/0739456X19861144")</f>
        <v>http://dx.doi.org/10.1177/0739456X19861144</v>
      </c>
    </row>
    <row r="369" spans="1:5" x14ac:dyDescent="0.3">
      <c r="A369" s="3">
        <v>368</v>
      </c>
      <c r="B369" s="4" t="s">
        <v>874</v>
      </c>
      <c r="C369" s="4" t="s">
        <v>875</v>
      </c>
      <c r="D369" s="4" t="s">
        <v>53</v>
      </c>
      <c r="E369" s="4" t="str">
        <f>HYPERLINK("http://dx.doi.org/10.1177/0739456X221144610","http://dx.doi.org/10.1177/0739456X221144610")</f>
        <v>http://dx.doi.org/10.1177/0739456X221144610</v>
      </c>
    </row>
    <row r="370" spans="1:5" x14ac:dyDescent="0.3">
      <c r="A370" s="3">
        <v>369</v>
      </c>
      <c r="B370" s="4" t="s">
        <v>876</v>
      </c>
      <c r="C370" s="4" t="s">
        <v>877</v>
      </c>
      <c r="D370" s="4" t="s">
        <v>9</v>
      </c>
      <c r="E370" s="4" t="str">
        <f>HYPERLINK("http://dx.doi.org/10.1016/j.gloenvcha.2012.04.005","http://dx.doi.org/10.1016/j.gloenvcha.2012.04.005")</f>
        <v>http://dx.doi.org/10.1016/j.gloenvcha.2012.04.005</v>
      </c>
    </row>
    <row r="371" spans="1:5" x14ac:dyDescent="0.3">
      <c r="A371" s="3">
        <v>370</v>
      </c>
      <c r="B371" s="4" t="s">
        <v>878</v>
      </c>
      <c r="C371" s="4" t="s">
        <v>879</v>
      </c>
      <c r="D371" s="4" t="s">
        <v>29</v>
      </c>
      <c r="E371" s="4" t="str">
        <f>HYPERLINK("http://dx.doi.org/10.1016/j.envsci.2024.103801","http://dx.doi.org/10.1016/j.envsci.2024.103801")</f>
        <v>http://dx.doi.org/10.1016/j.envsci.2024.103801</v>
      </c>
    </row>
    <row r="372" spans="1:5" x14ac:dyDescent="0.3">
      <c r="A372" s="3">
        <v>371</v>
      </c>
      <c r="B372" s="4" t="s">
        <v>880</v>
      </c>
      <c r="C372" s="4" t="s">
        <v>881</v>
      </c>
      <c r="D372" s="4" t="s">
        <v>882</v>
      </c>
      <c r="E372" s="4" t="str">
        <f>HYPERLINK("http://dx.doi.org/10.1071/CP11172","http://dx.doi.org/10.1071/CP11172")</f>
        <v>http://dx.doi.org/10.1071/CP11172</v>
      </c>
    </row>
    <row r="373" spans="1:5" x14ac:dyDescent="0.3">
      <c r="A373" s="3">
        <v>372</v>
      </c>
      <c r="B373" s="4" t="s">
        <v>883</v>
      </c>
      <c r="C373" s="4" t="s">
        <v>884</v>
      </c>
      <c r="D373" s="4" t="s">
        <v>869</v>
      </c>
      <c r="E373" s="4" t="str">
        <f>HYPERLINK("http://dx.doi.org/10.1142/S2010007819500143","http://dx.doi.org/10.1142/S2010007819500143")</f>
        <v>http://dx.doi.org/10.1142/S2010007819500143</v>
      </c>
    </row>
    <row r="374" spans="1:5" x14ac:dyDescent="0.3">
      <c r="A374" s="3">
        <v>373</v>
      </c>
      <c r="B374" s="4" t="s">
        <v>885</v>
      </c>
      <c r="C374" s="4" t="s">
        <v>886</v>
      </c>
      <c r="D374" s="4" t="s">
        <v>61</v>
      </c>
      <c r="E374" s="4" t="str">
        <f>HYPERLINK("http://dx.doi.org/10.1080/17565529.2017.1301870","http://dx.doi.org/10.1080/17565529.2017.1301870")</f>
        <v>http://dx.doi.org/10.1080/17565529.2017.1301870</v>
      </c>
    </row>
    <row r="375" spans="1:5" x14ac:dyDescent="0.3">
      <c r="A375" s="3">
        <v>374</v>
      </c>
      <c r="B375" s="4" t="s">
        <v>887</v>
      </c>
      <c r="C375" s="4" t="s">
        <v>888</v>
      </c>
      <c r="D375" s="4" t="s">
        <v>889</v>
      </c>
      <c r="E375" s="4" t="str">
        <f>HYPERLINK("http://dx.doi.org/10.1098/rspb.2024.1351","http://dx.doi.org/10.1098/rspb.2024.1351")</f>
        <v>http://dx.doi.org/10.1098/rspb.2024.1351</v>
      </c>
    </row>
    <row r="376" spans="1:5" x14ac:dyDescent="0.3">
      <c r="A376" s="3">
        <v>375</v>
      </c>
      <c r="B376" s="4" t="s">
        <v>890</v>
      </c>
      <c r="C376" s="4" t="s">
        <v>891</v>
      </c>
      <c r="D376" s="4" t="s">
        <v>40</v>
      </c>
      <c r="E376" s="4" t="str">
        <f>HYPERLINK("http://dx.doi.org/10.3390/su141710599","http://dx.doi.org/10.3390/su141710599")</f>
        <v>http://dx.doi.org/10.3390/su141710599</v>
      </c>
    </row>
    <row r="377" spans="1:5" x14ac:dyDescent="0.3">
      <c r="A377" s="3">
        <v>376</v>
      </c>
      <c r="B377" s="4" t="s">
        <v>892</v>
      </c>
      <c r="C377" s="4" t="s">
        <v>893</v>
      </c>
      <c r="D377" s="4" t="s">
        <v>67</v>
      </c>
      <c r="E377" s="4" t="str">
        <f>HYPERLINK("http://dx.doi.org/10.1016/j.worlddev.2019.104748","http://dx.doi.org/10.1016/j.worlddev.2019.104748")</f>
        <v>http://dx.doi.org/10.1016/j.worlddev.2019.104748</v>
      </c>
    </row>
    <row r="378" spans="1:5" x14ac:dyDescent="0.3">
      <c r="A378" s="3">
        <v>377</v>
      </c>
      <c r="B378" s="4" t="s">
        <v>894</v>
      </c>
      <c r="C378" s="4" t="s">
        <v>895</v>
      </c>
      <c r="D378" s="4" t="s">
        <v>896</v>
      </c>
      <c r="E378" s="4" t="str">
        <f>HYPERLINK("http://dx.doi.org/10.1002/2017EF000595","http://dx.doi.org/10.1002/2017EF000595")</f>
        <v>http://dx.doi.org/10.1002/2017EF000595</v>
      </c>
    </row>
    <row r="379" spans="1:5" x14ac:dyDescent="0.3">
      <c r="A379" s="3">
        <v>378</v>
      </c>
      <c r="B379" s="4" t="s">
        <v>897</v>
      </c>
      <c r="C379" s="4" t="s">
        <v>898</v>
      </c>
      <c r="D379" s="4" t="s">
        <v>899</v>
      </c>
      <c r="E379" s="4" t="str">
        <f>HYPERLINK("http://dx.doi.org/10.1080/08941920.2021.2011996","http://dx.doi.org/10.1080/08941920.2021.2011996")</f>
        <v>http://dx.doi.org/10.1080/08941920.2021.2011996</v>
      </c>
    </row>
    <row r="380" spans="1:5" x14ac:dyDescent="0.3">
      <c r="A380" s="3">
        <v>379</v>
      </c>
      <c r="B380" s="4" t="s">
        <v>900</v>
      </c>
      <c r="C380" s="4" t="s">
        <v>901</v>
      </c>
      <c r="D380" s="4" t="s">
        <v>116</v>
      </c>
      <c r="E380" s="4" t="str">
        <f>HYPERLINK("http://dx.doi.org/10.1002/wcc.416","http://dx.doi.org/10.1002/wcc.416")</f>
        <v>http://dx.doi.org/10.1002/wcc.416</v>
      </c>
    </row>
    <row r="381" spans="1:5" x14ac:dyDescent="0.3">
      <c r="A381" s="3">
        <v>380</v>
      </c>
      <c r="B381" s="4" t="s">
        <v>902</v>
      </c>
      <c r="C381" s="4" t="s">
        <v>903</v>
      </c>
      <c r="D381" s="4" t="s">
        <v>119</v>
      </c>
      <c r="E381" s="4" t="str">
        <f>HYPERLINK("http://dx.doi.org/10.1016/j.cosust.2011.03.001","http://dx.doi.org/10.1016/j.cosust.2011.03.001")</f>
        <v>http://dx.doi.org/10.1016/j.cosust.2011.03.001</v>
      </c>
    </row>
    <row r="382" spans="1:5" x14ac:dyDescent="0.3">
      <c r="A382" s="3">
        <v>381</v>
      </c>
      <c r="B382" s="4" t="s">
        <v>904</v>
      </c>
      <c r="C382" s="4" t="s">
        <v>905</v>
      </c>
      <c r="D382" s="4" t="s">
        <v>906</v>
      </c>
      <c r="E382" s="4" t="str">
        <f>HYPERLINK("http://dx.doi.org/10.1016/j.jebo.2018.12.015","http://dx.doi.org/10.1016/j.jebo.2018.12.015")</f>
        <v>http://dx.doi.org/10.1016/j.jebo.2018.12.015</v>
      </c>
    </row>
    <row r="383" spans="1:5" x14ac:dyDescent="0.3">
      <c r="A383" s="3">
        <v>382</v>
      </c>
      <c r="B383" s="4" t="s">
        <v>907</v>
      </c>
      <c r="C383" s="4" t="s">
        <v>908</v>
      </c>
      <c r="D383" s="4" t="s">
        <v>67</v>
      </c>
      <c r="E383" s="4" t="str">
        <f>HYPERLINK("http://dx.doi.org/10.1016/j.worlddev.2017.12.008","http://dx.doi.org/10.1016/j.worlddev.2017.12.008")</f>
        <v>http://dx.doi.org/10.1016/j.worlddev.2017.12.008</v>
      </c>
    </row>
    <row r="384" spans="1:5" x14ac:dyDescent="0.3">
      <c r="A384" s="3">
        <v>383</v>
      </c>
      <c r="B384" s="4" t="s">
        <v>909</v>
      </c>
      <c r="C384" s="4" t="s">
        <v>910</v>
      </c>
      <c r="D384" s="4" t="s">
        <v>911</v>
      </c>
      <c r="E384" s="4" t="str">
        <f>HYPERLINK("http://dx.doi.org/10.1080/10511482.2021.1944269","http://dx.doi.org/10.1080/10511482.2021.1944269")</f>
        <v>http://dx.doi.org/10.1080/10511482.2021.1944269</v>
      </c>
    </row>
    <row r="385" spans="1:5" x14ac:dyDescent="0.3">
      <c r="A385" s="3">
        <v>384</v>
      </c>
      <c r="B385" s="4" t="s">
        <v>912</v>
      </c>
      <c r="C385" s="4" t="s">
        <v>913</v>
      </c>
      <c r="D385" s="4" t="s">
        <v>914</v>
      </c>
      <c r="E385" s="4" t="str">
        <f>HYPERLINK("http://dx.doi.org/10.1016/j.ijdrr.2024.104700","http://dx.doi.org/10.1016/j.ijdrr.2024.104700")</f>
        <v>http://dx.doi.org/10.1016/j.ijdrr.2024.104700</v>
      </c>
    </row>
    <row r="386" spans="1:5" x14ac:dyDescent="0.3">
      <c r="A386" s="3">
        <v>385</v>
      </c>
      <c r="B386" s="4" t="s">
        <v>915</v>
      </c>
      <c r="C386" s="4" t="s">
        <v>916</v>
      </c>
      <c r="D386" s="4" t="s">
        <v>482</v>
      </c>
      <c r="E386" s="4" t="str">
        <f>HYPERLINK("http://dx.doi.org/10.1007/s11027-011-9340-8","http://dx.doi.org/10.1007/s11027-011-9340-8")</f>
        <v>http://dx.doi.org/10.1007/s11027-011-9340-8</v>
      </c>
    </row>
    <row r="387" spans="1:5" x14ac:dyDescent="0.3">
      <c r="A387" s="3">
        <v>386</v>
      </c>
      <c r="B387" s="4" t="s">
        <v>917</v>
      </c>
      <c r="C387" s="4" t="s">
        <v>918</v>
      </c>
      <c r="D387" s="4" t="s">
        <v>919</v>
      </c>
      <c r="E387" s="4" t="str">
        <f>HYPERLINK("http://dx.doi.org/10.1016/j.ufug.2023.128150","http://dx.doi.org/10.1016/j.ufug.2023.128150")</f>
        <v>http://dx.doi.org/10.1016/j.ufug.2023.128150</v>
      </c>
    </row>
    <row r="388" spans="1:5" x14ac:dyDescent="0.3">
      <c r="A388" s="3">
        <v>387</v>
      </c>
      <c r="B388" s="4" t="s">
        <v>920</v>
      </c>
      <c r="C388" s="4" t="s">
        <v>921</v>
      </c>
      <c r="D388" s="4" t="s">
        <v>77</v>
      </c>
      <c r="E388" s="4" t="str">
        <f>HYPERLINK("http://dx.doi.org/10.1016/j.cities.2020.102613","http://dx.doi.org/10.1016/j.cities.2020.102613")</f>
        <v>http://dx.doi.org/10.1016/j.cities.2020.102613</v>
      </c>
    </row>
    <row r="389" spans="1:5" x14ac:dyDescent="0.3">
      <c r="A389" s="3">
        <v>388</v>
      </c>
      <c r="B389" s="4" t="s">
        <v>922</v>
      </c>
      <c r="C389" s="4" t="s">
        <v>923</v>
      </c>
      <c r="D389" s="4" t="s">
        <v>285</v>
      </c>
      <c r="E389" s="4" t="str">
        <f>HYPERLINK("http://dx.doi.org/10.1016/j.crm.2021.100354","http://dx.doi.org/10.1016/j.crm.2021.100354")</f>
        <v>http://dx.doi.org/10.1016/j.crm.2021.100354</v>
      </c>
    </row>
    <row r="390" spans="1:5" x14ac:dyDescent="0.3">
      <c r="A390" s="3">
        <v>389</v>
      </c>
      <c r="B390" s="4" t="s">
        <v>924</v>
      </c>
      <c r="C390" s="4" t="s">
        <v>925</v>
      </c>
      <c r="D390" s="4" t="s">
        <v>119</v>
      </c>
      <c r="E390" s="4" t="str">
        <f>HYPERLINK("http://dx.doi.org/10.1016/j.cosust.2023.101270","http://dx.doi.org/10.1016/j.cosust.2023.101270")</f>
        <v>http://dx.doi.org/10.1016/j.cosust.2023.101270</v>
      </c>
    </row>
    <row r="391" spans="1:5" x14ac:dyDescent="0.3">
      <c r="A391" s="3">
        <v>390</v>
      </c>
      <c r="B391" s="4" t="s">
        <v>926</v>
      </c>
      <c r="C391" s="4" t="s">
        <v>927</v>
      </c>
      <c r="D391" s="4" t="s">
        <v>928</v>
      </c>
      <c r="E391" s="4" t="str">
        <f>HYPERLINK("http://dx.doi.org/10.3197/096327120X15752810323959","http://dx.doi.org/10.3197/096327120X15752810323959")</f>
        <v>http://dx.doi.org/10.3197/096327120X15752810323959</v>
      </c>
    </row>
    <row r="392" spans="1:5" x14ac:dyDescent="0.3">
      <c r="A392" s="3">
        <v>391</v>
      </c>
      <c r="B392" s="4" t="s">
        <v>929</v>
      </c>
      <c r="C392" s="4" t="s">
        <v>930</v>
      </c>
      <c r="D392" s="4" t="s">
        <v>29</v>
      </c>
      <c r="E392" s="4" t="str">
        <f>HYPERLINK("http://dx.doi.org/10.1016/j.envsci.2023.01.014","http://dx.doi.org/10.1016/j.envsci.2023.01.014")</f>
        <v>http://dx.doi.org/10.1016/j.envsci.2023.01.014</v>
      </c>
    </row>
    <row r="393" spans="1:5" x14ac:dyDescent="0.3">
      <c r="A393" s="3">
        <v>392</v>
      </c>
      <c r="B393" s="4" t="s">
        <v>931</v>
      </c>
      <c r="C393" s="4" t="s">
        <v>932</v>
      </c>
      <c r="D393" s="4" t="s">
        <v>229</v>
      </c>
      <c r="E393" s="4" t="str">
        <f>HYPERLINK("http://dx.doi.org/10.1007/s13280-023-01884-7","http://dx.doi.org/10.1007/s13280-023-01884-7")</f>
        <v>http://dx.doi.org/10.1007/s13280-023-01884-7</v>
      </c>
    </row>
    <row r="394" spans="1:5" x14ac:dyDescent="0.3">
      <c r="A394" s="3">
        <v>393</v>
      </c>
      <c r="B394" s="4" t="s">
        <v>933</v>
      </c>
      <c r="C394" s="4" t="s">
        <v>934</v>
      </c>
      <c r="D394" s="4" t="s">
        <v>61</v>
      </c>
      <c r="E394" s="4" t="str">
        <f>HYPERLINK("http://dx.doi.org/10.1080/17565529.2019.1605875","http://dx.doi.org/10.1080/17565529.2019.1605875")</f>
        <v>http://dx.doi.org/10.1080/17565529.2019.1605875</v>
      </c>
    </row>
    <row r="395" spans="1:5" x14ac:dyDescent="0.3">
      <c r="A395" s="3">
        <v>394</v>
      </c>
      <c r="B395" s="4" t="s">
        <v>935</v>
      </c>
      <c r="C395" s="4" t="s">
        <v>936</v>
      </c>
      <c r="D395" s="4" t="s">
        <v>519</v>
      </c>
      <c r="E395" s="4" t="str">
        <f>HYPERLINK("http://dx.doi.org/10.1002/eet.538","http://dx.doi.org/10.1002/eet.538")</f>
        <v>http://dx.doi.org/10.1002/eet.538</v>
      </c>
    </row>
    <row r="396" spans="1:5" x14ac:dyDescent="0.3">
      <c r="A396" s="3">
        <v>395</v>
      </c>
      <c r="B396" s="4" t="s">
        <v>937</v>
      </c>
      <c r="C396" s="4" t="s">
        <v>938</v>
      </c>
      <c r="D396" s="4" t="s">
        <v>939</v>
      </c>
      <c r="E396" s="4" t="str">
        <f>HYPERLINK("http://dx.doi.org/10.1016/j.ppees.2017.02.001","http://dx.doi.org/10.1016/j.ppees.2017.02.001")</f>
        <v>http://dx.doi.org/10.1016/j.ppees.2017.02.001</v>
      </c>
    </row>
    <row r="397" spans="1:5" x14ac:dyDescent="0.3">
      <c r="A397" s="3">
        <v>396</v>
      </c>
      <c r="B397" s="4" t="s">
        <v>940</v>
      </c>
      <c r="C397" s="4" t="s">
        <v>941</v>
      </c>
      <c r="D397" s="4" t="s">
        <v>942</v>
      </c>
      <c r="E397" s="4" t="str">
        <f>HYPERLINK("http://dx.doi.org/10.1177/0094582X15623764","http://dx.doi.org/10.1177/0094582X15623764")</f>
        <v>http://dx.doi.org/10.1177/0094582X15623764</v>
      </c>
    </row>
    <row r="398" spans="1:5" x14ac:dyDescent="0.3">
      <c r="A398" s="3">
        <v>397</v>
      </c>
      <c r="B398" s="4" t="s">
        <v>943</v>
      </c>
      <c r="C398" s="4" t="s">
        <v>944</v>
      </c>
      <c r="D398" s="4" t="s">
        <v>701</v>
      </c>
      <c r="E398" s="4" t="str">
        <f>HYPERLINK("http://dx.doi.org/10.1016/j.enpol.2017.01.026","http://dx.doi.org/10.1016/j.enpol.2017.01.026")</f>
        <v>http://dx.doi.org/10.1016/j.enpol.2017.01.026</v>
      </c>
    </row>
    <row r="399" spans="1:5" x14ac:dyDescent="0.3">
      <c r="A399" s="3">
        <v>398</v>
      </c>
      <c r="B399" s="4" t="s">
        <v>945</v>
      </c>
      <c r="C399" s="4" t="s">
        <v>946</v>
      </c>
      <c r="D399" s="4" t="s">
        <v>947</v>
      </c>
      <c r="E399" s="4" t="str">
        <f>HYPERLINK("http://dx.doi.org/10.2166/washdev.2023.165","http://dx.doi.org/10.2166/washdev.2023.165")</f>
        <v>http://dx.doi.org/10.2166/washdev.2023.165</v>
      </c>
    </row>
    <row r="400" spans="1:5" x14ac:dyDescent="0.3">
      <c r="A400" s="3">
        <v>399</v>
      </c>
      <c r="B400" s="4" t="s">
        <v>948</v>
      </c>
      <c r="C400" s="4" t="s">
        <v>949</v>
      </c>
      <c r="D400" s="4" t="s">
        <v>950</v>
      </c>
      <c r="E400" s="4" t="str">
        <f>HYPERLINK("http://dx.doi.org/10.1016/j.jenvp.2023.102037","http://dx.doi.org/10.1016/j.jenvp.2023.102037")</f>
        <v>http://dx.doi.org/10.1016/j.jenvp.2023.102037</v>
      </c>
    </row>
    <row r="401" spans="1:5" x14ac:dyDescent="0.3">
      <c r="A401" s="3">
        <v>400</v>
      </c>
      <c r="B401" s="4" t="s">
        <v>951</v>
      </c>
      <c r="C401" s="4" t="s">
        <v>952</v>
      </c>
      <c r="D401" s="4" t="s">
        <v>953</v>
      </c>
      <c r="E401" s="4" t="str">
        <f>HYPERLINK("http://dx.doi.org/10.1186/s12940-017-0328-z","http://dx.doi.org/10.1186/s12940-017-0328-z")</f>
        <v>http://dx.doi.org/10.1186/s12940-017-0328-z</v>
      </c>
    </row>
    <row r="402" spans="1:5" x14ac:dyDescent="0.3">
      <c r="A402" s="3">
        <v>401</v>
      </c>
      <c r="B402" s="4" t="s">
        <v>954</v>
      </c>
      <c r="C402" s="4" t="s">
        <v>955</v>
      </c>
      <c r="D402" s="4" t="s">
        <v>956</v>
      </c>
      <c r="E402" s="4" t="str">
        <f>HYPERLINK("http://dx.doi.org/10.1061/(ASCE)WW.1943-5460.0000142","http://dx.doi.org/10.1061/(ASCE)WW.1943-5460.0000142")</f>
        <v>http://dx.doi.org/10.1061/(ASCE)WW.1943-5460.0000142</v>
      </c>
    </row>
    <row r="403" spans="1:5" x14ac:dyDescent="0.3">
      <c r="A403" s="3">
        <v>402</v>
      </c>
      <c r="B403" s="4" t="s">
        <v>957</v>
      </c>
      <c r="C403" s="4" t="s">
        <v>958</v>
      </c>
      <c r="D403" s="4" t="s">
        <v>959</v>
      </c>
      <c r="E403" s="4" t="str">
        <f>HYPERLINK("http://dx.doi.org/10.1016/j.lanwpc.2023.100954","http://dx.doi.org/10.1016/j.lanwpc.2023.100954")</f>
        <v>http://dx.doi.org/10.1016/j.lanwpc.2023.100954</v>
      </c>
    </row>
    <row r="404" spans="1:5" x14ac:dyDescent="0.3">
      <c r="A404" s="3">
        <v>403</v>
      </c>
      <c r="B404" s="4" t="s">
        <v>960</v>
      </c>
      <c r="C404" s="4" t="s">
        <v>961</v>
      </c>
      <c r="D404" s="4" t="s">
        <v>40</v>
      </c>
      <c r="E404" s="4" t="str">
        <f>HYPERLINK("http://dx.doi.org/10.3390/su12176946","http://dx.doi.org/10.3390/su12176946")</f>
        <v>http://dx.doi.org/10.3390/su12176946</v>
      </c>
    </row>
    <row r="405" spans="1:5" x14ac:dyDescent="0.3">
      <c r="A405" s="3">
        <v>404</v>
      </c>
      <c r="B405" s="4" t="s">
        <v>962</v>
      </c>
      <c r="C405" s="4" t="s">
        <v>963</v>
      </c>
      <c r="D405" s="4" t="s">
        <v>207</v>
      </c>
      <c r="E405" s="4" t="str">
        <f>HYPERLINK("http://dx.doi.org/10.1007/s10113-024-02240-5","http://dx.doi.org/10.1007/s10113-024-02240-5")</f>
        <v>http://dx.doi.org/10.1007/s10113-024-02240-5</v>
      </c>
    </row>
    <row r="406" spans="1:5" x14ac:dyDescent="0.3">
      <c r="A406" s="3">
        <v>405</v>
      </c>
      <c r="B406" s="4" t="s">
        <v>964</v>
      </c>
      <c r="C406" s="4" t="s">
        <v>965</v>
      </c>
      <c r="D406" s="4" t="s">
        <v>966</v>
      </c>
      <c r="E406" s="4" t="str">
        <f>HYPERLINK("http://dx.doi.org/10.1061/JGGEFK.GTENG-10980","http://dx.doi.org/10.1061/JGGEFK.GTENG-10980")</f>
        <v>http://dx.doi.org/10.1061/JGGEFK.GTENG-10980</v>
      </c>
    </row>
    <row r="407" spans="1:5" x14ac:dyDescent="0.3">
      <c r="A407" s="3">
        <v>406</v>
      </c>
      <c r="B407" s="4" t="s">
        <v>967</v>
      </c>
      <c r="C407" s="4" t="s">
        <v>968</v>
      </c>
      <c r="D407" s="4" t="s">
        <v>135</v>
      </c>
      <c r="E407" s="4" t="str">
        <f>HYPERLINK("http://dx.doi.org/10.1177/0956247820978347","http://dx.doi.org/10.1177/0956247820978347")</f>
        <v>http://dx.doi.org/10.1177/0956247820978347</v>
      </c>
    </row>
    <row r="408" spans="1:5" x14ac:dyDescent="0.3">
      <c r="A408" s="3">
        <v>407</v>
      </c>
      <c r="B408" s="4" t="s">
        <v>969</v>
      </c>
      <c r="C408" s="4" t="s">
        <v>970</v>
      </c>
      <c r="D408" s="4" t="s">
        <v>971</v>
      </c>
      <c r="E408" s="4" t="str">
        <f>HYPERLINK("http://dx.doi.org/10.1016/j.accre.2020.07.001","http://dx.doi.org/10.1016/j.accre.2020.07.001")</f>
        <v>http://dx.doi.org/10.1016/j.accre.2020.07.001</v>
      </c>
    </row>
    <row r="409" spans="1:5" x14ac:dyDescent="0.3">
      <c r="A409" s="3">
        <v>408</v>
      </c>
      <c r="B409" s="4" t="s">
        <v>972</v>
      </c>
      <c r="C409" s="4" t="s">
        <v>973</v>
      </c>
      <c r="D409" s="4" t="s">
        <v>185</v>
      </c>
      <c r="E409" s="4" t="str">
        <f>HYPERLINK("http://dx.doi.org/10.3389/fsufs.2023.1216205","http://dx.doi.org/10.3389/fsufs.2023.1216205")</f>
        <v>http://dx.doi.org/10.3389/fsufs.2023.1216205</v>
      </c>
    </row>
    <row r="410" spans="1:5" x14ac:dyDescent="0.3">
      <c r="A410" s="3">
        <v>409</v>
      </c>
      <c r="B410" s="4" t="s">
        <v>974</v>
      </c>
      <c r="C410" s="4" t="s">
        <v>975</v>
      </c>
      <c r="D410" s="4" t="s">
        <v>976</v>
      </c>
      <c r="E410" s="4" t="str">
        <f>HYPERLINK("http://dx.doi.org/10.1111/gcb.17438","http://dx.doi.org/10.1111/gcb.17438")</f>
        <v>http://dx.doi.org/10.1111/gcb.17438</v>
      </c>
    </row>
    <row r="411" spans="1:5" x14ac:dyDescent="0.3">
      <c r="A411" s="3">
        <v>410</v>
      </c>
      <c r="B411" s="4" t="s">
        <v>977</v>
      </c>
      <c r="C411" s="4" t="s">
        <v>978</v>
      </c>
      <c r="D411" s="4" t="s">
        <v>979</v>
      </c>
      <c r="E411" s="4" t="str">
        <f>HYPERLINK("http://dx.doi.org/10.1534/genetics.114.173252","http://dx.doi.org/10.1534/genetics.114.173252")</f>
        <v>http://dx.doi.org/10.1534/genetics.114.173252</v>
      </c>
    </row>
    <row r="412" spans="1:5" x14ac:dyDescent="0.3">
      <c r="A412" s="3">
        <v>411</v>
      </c>
      <c r="B412" s="4" t="s">
        <v>980</v>
      </c>
      <c r="C412" s="4" t="s">
        <v>981</v>
      </c>
      <c r="D412" s="4" t="s">
        <v>265</v>
      </c>
      <c r="E412" s="4" t="str">
        <f>HYPERLINK("http://dx.doi.org/10.1016/j.geoforum.2023.103817","http://dx.doi.org/10.1016/j.geoforum.2023.103817")</f>
        <v>http://dx.doi.org/10.1016/j.geoforum.2023.103817</v>
      </c>
    </row>
    <row r="413" spans="1:5" x14ac:dyDescent="0.3">
      <c r="A413" s="3">
        <v>412</v>
      </c>
      <c r="B413" s="4" t="s">
        <v>982</v>
      </c>
      <c r="C413" s="4" t="s">
        <v>983</v>
      </c>
      <c r="D413" s="4" t="s">
        <v>984</v>
      </c>
      <c r="E413" s="4" t="str">
        <f>HYPERLINK("http://dx.doi.org/10.1016/j.jocm.2024.100468","http://dx.doi.org/10.1016/j.jocm.2024.100468")</f>
        <v>http://dx.doi.org/10.1016/j.jocm.2024.100468</v>
      </c>
    </row>
    <row r="414" spans="1:5" x14ac:dyDescent="0.3">
      <c r="A414" s="3">
        <v>413</v>
      </c>
      <c r="B414" s="4" t="s">
        <v>985</v>
      </c>
      <c r="C414" s="4" t="s">
        <v>986</v>
      </c>
      <c r="D414" s="4" t="s">
        <v>265</v>
      </c>
      <c r="E414" s="4" t="str">
        <f>HYPERLINK("http://dx.doi.org/10.1016/j.geoforum.2024.104099","http://dx.doi.org/10.1016/j.geoforum.2024.104099")</f>
        <v>http://dx.doi.org/10.1016/j.geoforum.2024.104099</v>
      </c>
    </row>
    <row r="415" spans="1:5" x14ac:dyDescent="0.3">
      <c r="A415" s="3">
        <v>414</v>
      </c>
      <c r="B415" s="4" t="s">
        <v>987</v>
      </c>
      <c r="C415" s="4" t="s">
        <v>988</v>
      </c>
      <c r="D415" s="4" t="s">
        <v>989</v>
      </c>
      <c r="E415" s="4" t="str">
        <f>HYPERLINK("http://dx.doi.org/10.1146/annurev-resource-112223-094752","http://dx.doi.org/10.1146/annurev-resource-112223-094752")</f>
        <v>http://dx.doi.org/10.1146/annurev-resource-112223-094752</v>
      </c>
    </row>
    <row r="416" spans="1:5" x14ac:dyDescent="0.3">
      <c r="A416" s="3">
        <v>415</v>
      </c>
      <c r="B416" s="4" t="s">
        <v>990</v>
      </c>
      <c r="C416" s="4" t="s">
        <v>991</v>
      </c>
      <c r="D416" s="4" t="s">
        <v>992</v>
      </c>
      <c r="E416" s="4" t="str">
        <f>HYPERLINK("http://dx.doi.org/10.1038/s42949-023-00129-6","http://dx.doi.org/10.1038/s42949-023-00129-6")</f>
        <v>http://dx.doi.org/10.1038/s42949-023-00129-6</v>
      </c>
    </row>
    <row r="417" spans="1:5" x14ac:dyDescent="0.3">
      <c r="A417" s="3">
        <v>416</v>
      </c>
      <c r="B417" s="4" t="s">
        <v>993</v>
      </c>
      <c r="C417" s="4" t="s">
        <v>994</v>
      </c>
      <c r="D417" s="4" t="s">
        <v>285</v>
      </c>
      <c r="E417" s="4" t="str">
        <f>HYPERLINK("http://dx.doi.org/10.1016/j.crm.2023.100517","http://dx.doi.org/10.1016/j.crm.2023.100517")</f>
        <v>http://dx.doi.org/10.1016/j.crm.2023.100517</v>
      </c>
    </row>
    <row r="418" spans="1:5" x14ac:dyDescent="0.3">
      <c r="A418" s="3">
        <v>417</v>
      </c>
      <c r="B418" s="4" t="s">
        <v>995</v>
      </c>
      <c r="C418" s="4" t="s">
        <v>996</v>
      </c>
      <c r="D418" s="4" t="s">
        <v>997</v>
      </c>
      <c r="E418" s="4" t="str">
        <f>HYPERLINK("http://dx.doi.org/10.1177/0309132520962856","http://dx.doi.org/10.1177/0309132520962856")</f>
        <v>http://dx.doi.org/10.1177/0309132520962856</v>
      </c>
    </row>
    <row r="419" spans="1:5" x14ac:dyDescent="0.3">
      <c r="A419" s="3">
        <v>418</v>
      </c>
      <c r="B419" s="4" t="s">
        <v>998</v>
      </c>
      <c r="C419" s="4" t="s">
        <v>999</v>
      </c>
      <c r="D419" s="4" t="s">
        <v>684</v>
      </c>
      <c r="E419" s="4" t="str">
        <f>HYPERLINK("http://dx.doi.org/10.1111/apv.12295","http://dx.doi.org/10.1111/apv.12295")</f>
        <v>http://dx.doi.org/10.1111/apv.12295</v>
      </c>
    </row>
    <row r="420" spans="1:5" x14ac:dyDescent="0.3">
      <c r="A420" s="3">
        <v>419</v>
      </c>
      <c r="B420" s="4" t="s">
        <v>1000</v>
      </c>
      <c r="C420" s="4" t="s">
        <v>1001</v>
      </c>
      <c r="D420" s="4" t="s">
        <v>119</v>
      </c>
      <c r="E420" s="4" t="str">
        <f>HYPERLINK("http://dx.doi.org/10.1016/j.cosust.2015.03.003","http://dx.doi.org/10.1016/j.cosust.2015.03.003")</f>
        <v>http://dx.doi.org/10.1016/j.cosust.2015.03.003</v>
      </c>
    </row>
    <row r="421" spans="1:5" x14ac:dyDescent="0.3">
      <c r="A421" s="3">
        <v>420</v>
      </c>
      <c r="B421" s="4" t="s">
        <v>1002</v>
      </c>
      <c r="C421" s="4" t="s">
        <v>1003</v>
      </c>
      <c r="D421" s="4" t="s">
        <v>9</v>
      </c>
      <c r="E421" s="4" t="str">
        <f>HYPERLINK("http://dx.doi.org/10.1016/j.gloenvcha.2023.102733","http://dx.doi.org/10.1016/j.gloenvcha.2023.102733")</f>
        <v>http://dx.doi.org/10.1016/j.gloenvcha.2023.102733</v>
      </c>
    </row>
    <row r="422" spans="1:5" x14ac:dyDescent="0.3">
      <c r="A422" s="3">
        <v>421</v>
      </c>
      <c r="B422" s="4" t="s">
        <v>1004</v>
      </c>
      <c r="C422" s="4" t="s">
        <v>1005</v>
      </c>
      <c r="D422" s="4" t="s">
        <v>1006</v>
      </c>
      <c r="E422" s="4" t="str">
        <f>HYPERLINK("http://dx.doi.org/10.17159/sajs.2021/7929","http://dx.doi.org/10.17159/sajs.2021/7929")</f>
        <v>http://dx.doi.org/10.17159/sajs.2021/7929</v>
      </c>
    </row>
    <row r="423" spans="1:5" x14ac:dyDescent="0.3">
      <c r="A423" s="3">
        <v>422</v>
      </c>
      <c r="B423" s="4" t="s">
        <v>1007</v>
      </c>
      <c r="C423" s="4" t="s">
        <v>1008</v>
      </c>
      <c r="D423" s="4" t="s">
        <v>1009</v>
      </c>
      <c r="E423" s="4" t="str">
        <f>HYPERLINK("http://dx.doi.org/10.1111/jfr3.12965","http://dx.doi.org/10.1111/jfr3.12965")</f>
        <v>http://dx.doi.org/10.1111/jfr3.12965</v>
      </c>
    </row>
    <row r="424" spans="1:5" x14ac:dyDescent="0.3">
      <c r="A424" s="3">
        <v>423</v>
      </c>
      <c r="B424" s="4" t="s">
        <v>1010</v>
      </c>
      <c r="C424" s="4" t="s">
        <v>1011</v>
      </c>
      <c r="D424" s="4" t="s">
        <v>1012</v>
      </c>
      <c r="E424" s="4" t="str">
        <f>HYPERLINK("http://dx.doi.org/10.1038/s41467-024-52111-0","http://dx.doi.org/10.1038/s41467-024-52111-0")</f>
        <v>http://dx.doi.org/10.1038/s41467-024-52111-0</v>
      </c>
    </row>
    <row r="425" spans="1:5" x14ac:dyDescent="0.3">
      <c r="A425" s="3">
        <v>424</v>
      </c>
      <c r="B425" s="4" t="s">
        <v>1013</v>
      </c>
      <c r="C425" s="4" t="s">
        <v>1014</v>
      </c>
      <c r="D425" s="4" t="s">
        <v>61</v>
      </c>
      <c r="E425" s="4" t="str">
        <f>HYPERLINK("http://dx.doi.org/10.1080/17565529.2021.1964937","http://dx.doi.org/10.1080/17565529.2021.1964937")</f>
        <v>http://dx.doi.org/10.1080/17565529.2021.1964937</v>
      </c>
    </row>
    <row r="426" spans="1:5" x14ac:dyDescent="0.3">
      <c r="A426" s="3">
        <v>425</v>
      </c>
      <c r="B426" s="4" t="s">
        <v>1015</v>
      </c>
      <c r="C426" s="4" t="s">
        <v>1016</v>
      </c>
      <c r="D426" s="4" t="s">
        <v>12</v>
      </c>
      <c r="E426" s="4" t="str">
        <f>HYPERLINK("http://dx.doi.org/10.1038/s41558-023-01753-x","http://dx.doi.org/10.1038/s41558-023-01753-x")</f>
        <v>http://dx.doi.org/10.1038/s41558-023-01753-x</v>
      </c>
    </row>
    <row r="427" spans="1:5" x14ac:dyDescent="0.3">
      <c r="A427" s="3">
        <v>426</v>
      </c>
      <c r="B427" s="4" t="s">
        <v>1017</v>
      </c>
      <c r="C427" s="4" t="s">
        <v>1018</v>
      </c>
      <c r="D427" s="4" t="s">
        <v>832</v>
      </c>
      <c r="E427" s="4" t="str">
        <f>HYPERLINK("http://dx.doi.org/10.1016/j.buildenv.2023.111107","http://dx.doi.org/10.1016/j.buildenv.2023.111107")</f>
        <v>http://dx.doi.org/10.1016/j.buildenv.2023.111107</v>
      </c>
    </row>
    <row r="428" spans="1:5" x14ac:dyDescent="0.3">
      <c r="A428" s="3">
        <v>427</v>
      </c>
      <c r="B428" s="4" t="s">
        <v>1019</v>
      </c>
      <c r="C428" s="4" t="s">
        <v>1020</v>
      </c>
      <c r="D428" s="4" t="s">
        <v>92</v>
      </c>
      <c r="E428" s="4" t="str">
        <f>HYPERLINK("http://dx.doi.org/10.1108/IJCCSM-08-2023-0106","http://dx.doi.org/10.1108/IJCCSM-08-2023-0106")</f>
        <v>http://dx.doi.org/10.1108/IJCCSM-08-2023-0106</v>
      </c>
    </row>
    <row r="429" spans="1:5" x14ac:dyDescent="0.3">
      <c r="A429" s="3">
        <v>428</v>
      </c>
      <c r="B429" s="4" t="s">
        <v>1021</v>
      </c>
      <c r="C429" s="4" t="s">
        <v>1022</v>
      </c>
      <c r="D429" s="4" t="s">
        <v>46</v>
      </c>
      <c r="E429" s="4" t="str">
        <f>HYPERLINK("http://dx.doi.org/10.1007/s10584-021-03088-y","http://dx.doi.org/10.1007/s10584-021-03088-y")</f>
        <v>http://dx.doi.org/10.1007/s10584-021-03088-y</v>
      </c>
    </row>
    <row r="430" spans="1:5" x14ac:dyDescent="0.3">
      <c r="A430" s="3">
        <v>429</v>
      </c>
      <c r="B430" s="4" t="s">
        <v>1023</v>
      </c>
      <c r="C430" s="4" t="s">
        <v>1024</v>
      </c>
      <c r="D430" s="4" t="s">
        <v>77</v>
      </c>
      <c r="E430" s="4" t="str">
        <f>HYPERLINK("http://dx.doi.org/10.1016/j.cities.2019.102496","http://dx.doi.org/10.1016/j.cities.2019.102496")</f>
        <v>http://dx.doi.org/10.1016/j.cities.2019.102496</v>
      </c>
    </row>
    <row r="431" spans="1:5" x14ac:dyDescent="0.3">
      <c r="A431" s="3">
        <v>430</v>
      </c>
      <c r="B431" s="4" t="s">
        <v>1025</v>
      </c>
      <c r="C431" s="4" t="s">
        <v>1026</v>
      </c>
      <c r="D431" s="4" t="s">
        <v>40</v>
      </c>
      <c r="E431" s="4" t="str">
        <f>HYPERLINK("http://dx.doi.org/10.3390/su11020319","http://dx.doi.org/10.3390/su11020319")</f>
        <v>http://dx.doi.org/10.3390/su11020319</v>
      </c>
    </row>
    <row r="432" spans="1:5" x14ac:dyDescent="0.3">
      <c r="A432" s="3">
        <v>431</v>
      </c>
      <c r="B432" s="4" t="s">
        <v>1027</v>
      </c>
      <c r="C432" s="4" t="s">
        <v>1028</v>
      </c>
      <c r="D432" s="4" t="s">
        <v>290</v>
      </c>
      <c r="E432" s="4" t="str">
        <f>HYPERLINK("http://dx.doi.org/10.1504/IJGW.2017.082181","http://dx.doi.org/10.1504/IJGW.2017.082181")</f>
        <v>http://dx.doi.org/10.1504/IJGW.2017.082181</v>
      </c>
    </row>
    <row r="433" spans="1:5" x14ac:dyDescent="0.3">
      <c r="A433" s="3">
        <v>432</v>
      </c>
      <c r="B433" s="4" t="s">
        <v>1029</v>
      </c>
      <c r="C433" s="4" t="s">
        <v>1030</v>
      </c>
      <c r="D433" s="4" t="s">
        <v>342</v>
      </c>
      <c r="E433" s="4" t="str">
        <f>HYPERLINK("http://dx.doi.org/10.1016/j.oneear.2021.01.008","http://dx.doi.org/10.1016/j.oneear.2021.01.008")</f>
        <v>http://dx.doi.org/10.1016/j.oneear.2021.01.008</v>
      </c>
    </row>
    <row r="434" spans="1:5" x14ac:dyDescent="0.3">
      <c r="A434" s="3">
        <v>433</v>
      </c>
      <c r="B434" s="4" t="s">
        <v>1031</v>
      </c>
      <c r="C434" s="4" t="s">
        <v>1032</v>
      </c>
      <c r="D434" s="4" t="s">
        <v>12</v>
      </c>
      <c r="E434" s="4" t="str">
        <f>HYPERLINK("http://dx.doi.org/10.1038/s41558-023-01772-8","http://dx.doi.org/10.1038/s41558-023-01772-8")</f>
        <v>http://dx.doi.org/10.1038/s41558-023-01772-8</v>
      </c>
    </row>
    <row r="435" spans="1:5" x14ac:dyDescent="0.3">
      <c r="A435" s="3">
        <v>434</v>
      </c>
      <c r="B435" s="4" t="s">
        <v>1033</v>
      </c>
      <c r="C435" s="4" t="s">
        <v>1034</v>
      </c>
      <c r="D435" s="4" t="s">
        <v>1035</v>
      </c>
      <c r="E435" s="4" t="str">
        <f>HYPERLINK("http://dx.doi.org/10.1080/00049182.2014.930001","http://dx.doi.org/10.1080/00049182.2014.930001")</f>
        <v>http://dx.doi.org/10.1080/00049182.2014.930001</v>
      </c>
    </row>
    <row r="436" spans="1:5" x14ac:dyDescent="0.3">
      <c r="A436" s="3">
        <v>435</v>
      </c>
      <c r="B436" s="4" t="s">
        <v>1036</v>
      </c>
      <c r="C436" s="4" t="s">
        <v>1037</v>
      </c>
      <c r="D436" s="4" t="s">
        <v>29</v>
      </c>
      <c r="E436" s="4" t="str">
        <f>HYPERLINK("http://dx.doi.org/10.1016/j.envsci.2018.08.002","http://dx.doi.org/10.1016/j.envsci.2018.08.002")</f>
        <v>http://dx.doi.org/10.1016/j.envsci.2018.08.002</v>
      </c>
    </row>
    <row r="437" spans="1:5" x14ac:dyDescent="0.3">
      <c r="A437" s="3">
        <v>436</v>
      </c>
      <c r="B437" s="4" t="s">
        <v>1038</v>
      </c>
      <c r="C437" s="4" t="s">
        <v>1039</v>
      </c>
      <c r="D437" s="4" t="s">
        <v>911</v>
      </c>
      <c r="E437" s="4" t="str">
        <f>HYPERLINK("http://dx.doi.org/10.1080/10511482.2021.1931930","http://dx.doi.org/10.1080/10511482.2021.1931930")</f>
        <v>http://dx.doi.org/10.1080/10511482.2021.1931930</v>
      </c>
    </row>
    <row r="438" spans="1:5" x14ac:dyDescent="0.3">
      <c r="A438" s="3">
        <v>437</v>
      </c>
      <c r="B438" s="4" t="s">
        <v>1040</v>
      </c>
      <c r="C438" s="4" t="s">
        <v>1041</v>
      </c>
      <c r="D438" s="4" t="s">
        <v>1042</v>
      </c>
      <c r="E438" s="4" t="str">
        <f>HYPERLINK("http://dx.doi.org/10.1287/mnsc.2023.4686","http://dx.doi.org/10.1287/mnsc.2023.4686")</f>
        <v>http://dx.doi.org/10.1287/mnsc.2023.4686</v>
      </c>
    </row>
    <row r="439" spans="1:5" x14ac:dyDescent="0.3">
      <c r="A439" s="3">
        <v>438</v>
      </c>
      <c r="B439" s="4" t="s">
        <v>1043</v>
      </c>
      <c r="C439" s="4" t="s">
        <v>1044</v>
      </c>
      <c r="D439" s="4" t="s">
        <v>241</v>
      </c>
      <c r="E439" s="4" t="str">
        <f>HYPERLINK("http://dx.doi.org/10.1016/j.ocecoaman.2021.105554","http://dx.doi.org/10.1016/j.ocecoaman.2021.105554")</f>
        <v>http://dx.doi.org/10.1016/j.ocecoaman.2021.105554</v>
      </c>
    </row>
    <row r="440" spans="1:5" x14ac:dyDescent="0.3">
      <c r="A440" s="3">
        <v>439</v>
      </c>
      <c r="B440" s="4" t="s">
        <v>1045</v>
      </c>
      <c r="C440" s="4" t="s">
        <v>1046</v>
      </c>
      <c r="D440" s="4" t="s">
        <v>1047</v>
      </c>
      <c r="E440" s="4" t="str">
        <f>HYPERLINK("http://dx.doi.org/10.1111/faf.12737","http://dx.doi.org/10.1111/faf.12737")</f>
        <v>http://dx.doi.org/10.1111/faf.12737</v>
      </c>
    </row>
    <row r="441" spans="1:5" x14ac:dyDescent="0.3">
      <c r="A441" s="3">
        <v>440</v>
      </c>
      <c r="B441" s="4" t="s">
        <v>1048</v>
      </c>
      <c r="C441" s="4" t="s">
        <v>1049</v>
      </c>
      <c r="D441" s="4" t="s">
        <v>265</v>
      </c>
      <c r="E441" s="4" t="str">
        <f>HYPERLINK("http://dx.doi.org/10.1016/j.geoforum.2019.05.010","http://dx.doi.org/10.1016/j.geoforum.2019.05.010")</f>
        <v>http://dx.doi.org/10.1016/j.geoforum.2019.05.010</v>
      </c>
    </row>
    <row r="442" spans="1:5" x14ac:dyDescent="0.3">
      <c r="A442" s="3">
        <v>441</v>
      </c>
      <c r="B442" s="4" t="s">
        <v>1050</v>
      </c>
      <c r="C442" s="4" t="s">
        <v>1051</v>
      </c>
      <c r="D442" s="4" t="s">
        <v>1052</v>
      </c>
      <c r="E442" s="4" t="str">
        <f>HYPERLINK("http://dx.doi.org/10.1016/j.jrurstud.2018.05.002","http://dx.doi.org/10.1016/j.jrurstud.2018.05.002")</f>
        <v>http://dx.doi.org/10.1016/j.jrurstud.2018.05.002</v>
      </c>
    </row>
    <row r="443" spans="1:5" x14ac:dyDescent="0.3">
      <c r="A443" s="3">
        <v>442</v>
      </c>
      <c r="B443" s="4" t="s">
        <v>1053</v>
      </c>
      <c r="C443" s="4" t="s">
        <v>1054</v>
      </c>
      <c r="D443" s="4" t="s">
        <v>1055</v>
      </c>
      <c r="E443" s="4" t="str">
        <f>HYPERLINK("http://dx.doi.org/10.1017/S1751731120000865","http://dx.doi.org/10.1017/S1751731120000865")</f>
        <v>http://dx.doi.org/10.1017/S1751731120000865</v>
      </c>
    </row>
    <row r="444" spans="1:5" x14ac:dyDescent="0.3">
      <c r="A444" s="3">
        <v>443</v>
      </c>
      <c r="B444" s="4" t="s">
        <v>1056</v>
      </c>
      <c r="C444" s="4" t="s">
        <v>1057</v>
      </c>
      <c r="D444" s="4" t="s">
        <v>202</v>
      </c>
      <c r="E444" s="4" t="str">
        <f>HYPERLINK("http://dx.doi.org/10.1080/09640568.2018.1541231","http://dx.doi.org/10.1080/09640568.2018.1541231")</f>
        <v>http://dx.doi.org/10.1080/09640568.2018.1541231</v>
      </c>
    </row>
    <row r="445" spans="1:5" x14ac:dyDescent="0.3">
      <c r="A445" s="3">
        <v>444</v>
      </c>
      <c r="B445" s="4" t="s">
        <v>1058</v>
      </c>
      <c r="C445" s="4" t="s">
        <v>1059</v>
      </c>
      <c r="D445" s="4" t="s">
        <v>788</v>
      </c>
      <c r="E445" s="4" t="str">
        <f>HYPERLINK("http://dx.doi.org/10.1080/01944363.2020.1788415","http://dx.doi.org/10.1080/01944363.2020.1788415")</f>
        <v>http://dx.doi.org/10.1080/01944363.2020.1788415</v>
      </c>
    </row>
    <row r="446" spans="1:5" x14ac:dyDescent="0.3">
      <c r="A446" s="3">
        <v>445</v>
      </c>
      <c r="B446" s="4" t="s">
        <v>1060</v>
      </c>
      <c r="C446" s="4" t="s">
        <v>1061</v>
      </c>
      <c r="D446" s="4" t="s">
        <v>185</v>
      </c>
      <c r="E446" s="4" t="str">
        <f>HYPERLINK("http://dx.doi.org/10.3389/fsufs.2021.685299","http://dx.doi.org/10.3389/fsufs.2021.685299")</f>
        <v>http://dx.doi.org/10.3389/fsufs.2021.685299</v>
      </c>
    </row>
    <row r="447" spans="1:5" x14ac:dyDescent="0.3">
      <c r="A447" s="3">
        <v>446</v>
      </c>
      <c r="B447" s="4" t="s">
        <v>1062</v>
      </c>
      <c r="C447" s="4" t="s">
        <v>1063</v>
      </c>
      <c r="D447" s="4" t="s">
        <v>207</v>
      </c>
      <c r="E447" s="4" t="str">
        <f>HYPERLINK("http://dx.doi.org/10.1007/s10113-019-01570-z","http://dx.doi.org/10.1007/s10113-019-01570-z")</f>
        <v>http://dx.doi.org/10.1007/s10113-019-01570-z</v>
      </c>
    </row>
    <row r="448" spans="1:5" x14ac:dyDescent="0.3">
      <c r="A448" s="3">
        <v>447</v>
      </c>
      <c r="B448" s="4" t="s">
        <v>1064</v>
      </c>
      <c r="C448" s="4" t="s">
        <v>1065</v>
      </c>
      <c r="D448" s="4" t="s">
        <v>1066</v>
      </c>
      <c r="E448" s="4" t="str">
        <f>HYPERLINK("http://dx.doi.org/10.3390/agriculture7100086","http://dx.doi.org/10.3390/agriculture7100086")</f>
        <v>http://dx.doi.org/10.3390/agriculture7100086</v>
      </c>
    </row>
    <row r="449" spans="1:5" x14ac:dyDescent="0.3">
      <c r="A449" s="3">
        <v>448</v>
      </c>
      <c r="B449" s="4" t="s">
        <v>1067</v>
      </c>
      <c r="C449" s="4" t="s">
        <v>1068</v>
      </c>
      <c r="D449" s="4" t="s">
        <v>976</v>
      </c>
      <c r="E449" s="4" t="str">
        <f>HYPERLINK("http://dx.doi.org/10.1111/gcb.17588","http://dx.doi.org/10.1111/gcb.17588")</f>
        <v>http://dx.doi.org/10.1111/gcb.17588</v>
      </c>
    </row>
    <row r="450" spans="1:5" x14ac:dyDescent="0.3">
      <c r="A450" s="3">
        <v>449</v>
      </c>
      <c r="B450" s="4" t="s">
        <v>1069</v>
      </c>
      <c r="C450" s="4" t="s">
        <v>1070</v>
      </c>
      <c r="D450" s="4" t="s">
        <v>61</v>
      </c>
      <c r="E450" s="4" t="str">
        <f>HYPERLINK("http://dx.doi.org/10.1080/17565529.2015.1064808","http://dx.doi.org/10.1080/17565529.2015.1064808")</f>
        <v>http://dx.doi.org/10.1080/17565529.2015.1064808</v>
      </c>
    </row>
    <row r="451" spans="1:5" x14ac:dyDescent="0.3">
      <c r="A451" s="3">
        <v>450</v>
      </c>
      <c r="B451" s="4" t="s">
        <v>1071</v>
      </c>
      <c r="C451" s="4" t="s">
        <v>1072</v>
      </c>
      <c r="D451" s="4" t="s">
        <v>444</v>
      </c>
      <c r="E451" s="4" t="str">
        <f>HYPERLINK("http://dx.doi.org/10.3390/w9030217","http://dx.doi.org/10.3390/w9030217")</f>
        <v>http://dx.doi.org/10.3390/w9030217</v>
      </c>
    </row>
    <row r="452" spans="1:5" x14ac:dyDescent="0.3">
      <c r="A452" s="3">
        <v>451</v>
      </c>
      <c r="B452" s="4" t="s">
        <v>1073</v>
      </c>
      <c r="C452" s="4" t="s">
        <v>1074</v>
      </c>
      <c r="D452" s="4" t="s">
        <v>64</v>
      </c>
      <c r="E452" s="4" t="str">
        <f>HYPERLINK("http://dx.doi.org/10.1080/14693062.2021.1978053","http://dx.doi.org/10.1080/14693062.2021.1978053")</f>
        <v>http://dx.doi.org/10.1080/14693062.2021.1978053</v>
      </c>
    </row>
    <row r="453" spans="1:5" x14ac:dyDescent="0.3">
      <c r="A453" s="3">
        <v>452</v>
      </c>
      <c r="B453" s="4" t="s">
        <v>1075</v>
      </c>
      <c r="C453" s="4" t="s">
        <v>1076</v>
      </c>
      <c r="D453" s="4" t="s">
        <v>61</v>
      </c>
      <c r="E453" s="4" t="str">
        <f>HYPERLINK("http://dx.doi.org/10.1080/17565529.2018.1442793","http://dx.doi.org/10.1080/17565529.2018.1442793")</f>
        <v>http://dx.doi.org/10.1080/17565529.2018.1442793</v>
      </c>
    </row>
    <row r="454" spans="1:5" x14ac:dyDescent="0.3">
      <c r="A454" s="3">
        <v>453</v>
      </c>
      <c r="B454" s="4" t="s">
        <v>1077</v>
      </c>
      <c r="C454" s="4" t="s">
        <v>1078</v>
      </c>
      <c r="D454" s="4" t="s">
        <v>1079</v>
      </c>
      <c r="E454" s="4" t="str">
        <f>HYPERLINK("http://dx.doi.org/10.7717/peerj.2218","http://dx.doi.org/10.7717/peerj.2218")</f>
        <v>http://dx.doi.org/10.7717/peerj.2218</v>
      </c>
    </row>
    <row r="455" spans="1:5" x14ac:dyDescent="0.3">
      <c r="A455" s="3">
        <v>454</v>
      </c>
      <c r="B455" s="4" t="s">
        <v>1036</v>
      </c>
      <c r="C455" s="4" t="s">
        <v>1080</v>
      </c>
      <c r="D455" s="4" t="s">
        <v>265</v>
      </c>
      <c r="E455" s="4" t="str">
        <f>HYPERLINK("http://dx.doi.org/10.1016/j.geoforum.2021.02.007","http://dx.doi.org/10.1016/j.geoforum.2021.02.007")</f>
        <v>http://dx.doi.org/10.1016/j.geoforum.2021.02.007</v>
      </c>
    </row>
    <row r="456" spans="1:5" x14ac:dyDescent="0.3">
      <c r="A456" s="3">
        <v>455</v>
      </c>
      <c r="B456" s="4" t="s">
        <v>1081</v>
      </c>
      <c r="C456" s="4" t="s">
        <v>1082</v>
      </c>
      <c r="D456" s="4" t="s">
        <v>1083</v>
      </c>
      <c r="E456" s="4" t="str">
        <f>HYPERLINK("http://dx.doi.org/10.1080/17445647.2023.2253262","http://dx.doi.org/10.1080/17445647.2023.2253262")</f>
        <v>http://dx.doi.org/10.1080/17445647.2023.2253262</v>
      </c>
    </row>
    <row r="457" spans="1:5" x14ac:dyDescent="0.3">
      <c r="A457" s="3">
        <v>456</v>
      </c>
      <c r="B457" s="4" t="s">
        <v>1084</v>
      </c>
      <c r="C457" s="4" t="s">
        <v>1085</v>
      </c>
      <c r="D457" s="4" t="s">
        <v>207</v>
      </c>
      <c r="E457" s="4" t="str">
        <f>HYPERLINK("http://dx.doi.org/10.1007/s10113-011-0271-4","http://dx.doi.org/10.1007/s10113-011-0271-4")</f>
        <v>http://dx.doi.org/10.1007/s10113-011-0271-4</v>
      </c>
    </row>
    <row r="458" spans="1:5" x14ac:dyDescent="0.3">
      <c r="A458" s="3">
        <v>457</v>
      </c>
      <c r="B458" s="4" t="s">
        <v>1086</v>
      </c>
      <c r="C458" s="4" t="s">
        <v>1087</v>
      </c>
      <c r="D458" s="4" t="s">
        <v>1088</v>
      </c>
      <c r="E458" s="4" t="str">
        <f>HYPERLINK("http://dx.doi.org/10.1016/j.eneco.2024.108018","http://dx.doi.org/10.1016/j.eneco.2024.108018")</f>
        <v>http://dx.doi.org/10.1016/j.eneco.2024.108018</v>
      </c>
    </row>
    <row r="459" spans="1:5" x14ac:dyDescent="0.3">
      <c r="A459" s="3">
        <v>458</v>
      </c>
      <c r="B459" s="4" t="s">
        <v>1089</v>
      </c>
      <c r="C459" s="4" t="s">
        <v>1090</v>
      </c>
      <c r="D459" s="4" t="s">
        <v>46</v>
      </c>
      <c r="E459" s="4" t="str">
        <f>HYPERLINK("http://dx.doi.org/10.1007/s10584-021-03305-8","http://dx.doi.org/10.1007/s10584-021-03305-8")</f>
        <v>http://dx.doi.org/10.1007/s10584-021-03305-8</v>
      </c>
    </row>
    <row r="460" spans="1:5" x14ac:dyDescent="0.3">
      <c r="A460" s="3">
        <v>459</v>
      </c>
      <c r="B460" s="4" t="s">
        <v>1091</v>
      </c>
      <c r="C460" s="4" t="s">
        <v>1092</v>
      </c>
      <c r="D460" s="4" t="s">
        <v>1093</v>
      </c>
      <c r="E460" s="4" t="str">
        <f>HYPERLINK("http://dx.doi.org/10.1080/00167223.2020.1733432","http://dx.doi.org/10.1080/00167223.2020.1733432")</f>
        <v>http://dx.doi.org/10.1080/00167223.2020.1733432</v>
      </c>
    </row>
    <row r="461" spans="1:5" x14ac:dyDescent="0.3">
      <c r="A461" s="3">
        <v>460</v>
      </c>
      <c r="B461" s="4" t="s">
        <v>1094</v>
      </c>
      <c r="C461" s="4" t="s">
        <v>1095</v>
      </c>
      <c r="D461" s="4" t="s">
        <v>1096</v>
      </c>
      <c r="E461" s="4" t="str">
        <f>HYPERLINK("http://dx.doi.org/10.1177/01708406241233179","http://dx.doi.org/10.1177/01708406241233179")</f>
        <v>http://dx.doi.org/10.1177/01708406241233179</v>
      </c>
    </row>
    <row r="462" spans="1:5" x14ac:dyDescent="0.3">
      <c r="A462" s="3">
        <v>461</v>
      </c>
      <c r="B462" s="4" t="s">
        <v>1097</v>
      </c>
      <c r="C462" s="4" t="s">
        <v>1098</v>
      </c>
      <c r="D462" s="4" t="s">
        <v>1099</v>
      </c>
      <c r="E462" s="4" t="str">
        <f>HYPERLINK("http://dx.doi.org/10.1016/j.apgeog.2023.103046","http://dx.doi.org/10.1016/j.apgeog.2023.103046")</f>
        <v>http://dx.doi.org/10.1016/j.apgeog.2023.103046</v>
      </c>
    </row>
    <row r="463" spans="1:5" x14ac:dyDescent="0.3">
      <c r="A463" s="3">
        <v>462</v>
      </c>
      <c r="B463" s="4" t="s">
        <v>1100</v>
      </c>
      <c r="C463" s="4" t="s">
        <v>1101</v>
      </c>
      <c r="D463" s="4" t="s">
        <v>519</v>
      </c>
      <c r="E463" s="4" t="str">
        <f>HYPERLINK("http://dx.doi.org/10.1002/eet.1766","http://dx.doi.org/10.1002/eet.1766")</f>
        <v>http://dx.doi.org/10.1002/eet.1766</v>
      </c>
    </row>
    <row r="464" spans="1:5" x14ac:dyDescent="0.3">
      <c r="A464" s="3">
        <v>463</v>
      </c>
      <c r="B464" s="4" t="s">
        <v>1102</v>
      </c>
      <c r="C464" s="4" t="s">
        <v>1103</v>
      </c>
      <c r="D464" s="4" t="s">
        <v>64</v>
      </c>
      <c r="E464" s="4" t="str">
        <f>HYPERLINK("http://dx.doi.org/10.1080/14693062.2015.1019822","http://dx.doi.org/10.1080/14693062.2015.1019822")</f>
        <v>http://dx.doi.org/10.1080/14693062.2015.1019822</v>
      </c>
    </row>
    <row r="465" spans="1:5" x14ac:dyDescent="0.3">
      <c r="A465" s="3">
        <v>464</v>
      </c>
      <c r="B465" s="4" t="s">
        <v>1104</v>
      </c>
      <c r="C465" s="4" t="s">
        <v>1105</v>
      </c>
      <c r="D465" s="4" t="s">
        <v>116</v>
      </c>
      <c r="E465" s="4" t="str">
        <f>HYPERLINK("http://dx.doi.org/10.1002/wcc.341","http://dx.doi.org/10.1002/wcc.341")</f>
        <v>http://dx.doi.org/10.1002/wcc.341</v>
      </c>
    </row>
    <row r="466" spans="1:5" x14ac:dyDescent="0.3">
      <c r="A466" s="3">
        <v>465</v>
      </c>
      <c r="B466" s="4" t="s">
        <v>1106</v>
      </c>
      <c r="C466" s="4" t="s">
        <v>1107</v>
      </c>
      <c r="D466" s="4" t="s">
        <v>229</v>
      </c>
      <c r="E466" s="4" t="str">
        <f>HYPERLINK("http://dx.doi.org/10.1007/s13280-022-01817-w","http://dx.doi.org/10.1007/s13280-022-01817-w")</f>
        <v>http://dx.doi.org/10.1007/s13280-022-01817-w</v>
      </c>
    </row>
    <row r="467" spans="1:5" x14ac:dyDescent="0.3">
      <c r="A467" s="3">
        <v>466</v>
      </c>
      <c r="B467" s="4" t="s">
        <v>781</v>
      </c>
      <c r="C467" s="4" t="s">
        <v>1108</v>
      </c>
      <c r="D467" s="4" t="s">
        <v>1109</v>
      </c>
      <c r="E467" s="4" t="str">
        <f>HYPERLINK("http://dx.doi.org/10.1177/1078087419910827","http://dx.doi.org/10.1177/1078087419910827")</f>
        <v>http://dx.doi.org/10.1177/1078087419910827</v>
      </c>
    </row>
    <row r="468" spans="1:5" x14ac:dyDescent="0.3">
      <c r="A468" s="3">
        <v>467</v>
      </c>
      <c r="B468" s="4" t="s">
        <v>1110</v>
      </c>
      <c r="C468" s="4" t="s">
        <v>1111</v>
      </c>
      <c r="D468" s="4" t="s">
        <v>1109</v>
      </c>
      <c r="E468" s="4" t="str">
        <f>HYPERLINK("http://dx.doi.org/10.1177/10780874241252755","http://dx.doi.org/10.1177/10780874241252755")</f>
        <v>http://dx.doi.org/10.1177/10780874241252755</v>
      </c>
    </row>
    <row r="469" spans="1:5" x14ac:dyDescent="0.3">
      <c r="A469" s="3">
        <v>468</v>
      </c>
      <c r="B469" s="4" t="s">
        <v>1112</v>
      </c>
      <c r="C469" s="4" t="s">
        <v>1113</v>
      </c>
      <c r="D469" s="4" t="s">
        <v>61</v>
      </c>
      <c r="E469" s="4" t="str">
        <f>HYPERLINK("http://dx.doi.org/10.1080/17565529.2022.2125786","http://dx.doi.org/10.1080/17565529.2022.2125786")</f>
        <v>http://dx.doi.org/10.1080/17565529.2022.2125786</v>
      </c>
    </row>
    <row r="470" spans="1:5" x14ac:dyDescent="0.3">
      <c r="A470" s="3">
        <v>469</v>
      </c>
      <c r="B470" s="4" t="s">
        <v>1114</v>
      </c>
      <c r="C470" s="4" t="s">
        <v>1115</v>
      </c>
      <c r="D470" s="4" t="s">
        <v>229</v>
      </c>
      <c r="E470" s="4" t="str">
        <f>HYPERLINK("http://dx.doi.org/10.1007/s13280-024-02035-2","http://dx.doi.org/10.1007/s13280-024-02035-2")</f>
        <v>http://dx.doi.org/10.1007/s13280-024-02035-2</v>
      </c>
    </row>
    <row r="471" spans="1:5" x14ac:dyDescent="0.3">
      <c r="A471" s="3">
        <v>470</v>
      </c>
      <c r="B471" s="4" t="s">
        <v>1116</v>
      </c>
      <c r="C471" s="4" t="s">
        <v>1117</v>
      </c>
      <c r="D471" s="4" t="s">
        <v>389</v>
      </c>
      <c r="E471" s="4" t="str">
        <f>HYPERLINK("http://dx.doi.org/10.1016/j.jclepro.2015.01.034","http://dx.doi.org/10.1016/j.jclepro.2015.01.034")</f>
        <v>http://dx.doi.org/10.1016/j.jclepro.2015.01.034</v>
      </c>
    </row>
    <row r="472" spans="1:5" x14ac:dyDescent="0.3">
      <c r="A472" s="3">
        <v>471</v>
      </c>
      <c r="B472" s="4" t="s">
        <v>1118</v>
      </c>
      <c r="C472" s="4" t="s">
        <v>1119</v>
      </c>
      <c r="D472" s="4" t="s">
        <v>160</v>
      </c>
      <c r="E472" s="4" t="str">
        <f>HYPERLINK("http://dx.doi.org/10.1080/1523908X.2021.1940892","http://dx.doi.org/10.1080/1523908X.2021.1940892")</f>
        <v>http://dx.doi.org/10.1080/1523908X.2021.1940892</v>
      </c>
    </row>
    <row r="473" spans="1:5" x14ac:dyDescent="0.3">
      <c r="A473" s="3">
        <v>472</v>
      </c>
      <c r="B473" s="4" t="s">
        <v>1120</v>
      </c>
      <c r="C473" s="4" t="s">
        <v>1121</v>
      </c>
      <c r="D473" s="4" t="s">
        <v>1122</v>
      </c>
      <c r="E473" s="4" t="str">
        <f>HYPERLINK("http://dx.doi.org/10.1080/03003930.2024.2407021","http://dx.doi.org/10.1080/03003930.2024.2407021")</f>
        <v>http://dx.doi.org/10.1080/03003930.2024.2407021</v>
      </c>
    </row>
    <row r="474" spans="1:5" x14ac:dyDescent="0.3">
      <c r="A474" s="3">
        <v>473</v>
      </c>
      <c r="B474" s="4" t="s">
        <v>1123</v>
      </c>
      <c r="C474" s="4" t="s">
        <v>1124</v>
      </c>
      <c r="D474" s="4" t="s">
        <v>1125</v>
      </c>
      <c r="E474" s="4" t="str">
        <f>HYPERLINK("http://dx.doi.org/10.1007/s10677-024-10438-z","http://dx.doi.org/10.1007/s10677-024-10438-z")</f>
        <v>http://dx.doi.org/10.1007/s10677-024-10438-z</v>
      </c>
    </row>
    <row r="475" spans="1:5" x14ac:dyDescent="0.3">
      <c r="A475" s="3">
        <v>474</v>
      </c>
      <c r="B475" s="4" t="s">
        <v>1126</v>
      </c>
      <c r="C475" s="4" t="s">
        <v>1127</v>
      </c>
      <c r="D475" s="4" t="s">
        <v>482</v>
      </c>
      <c r="E475" s="4" t="str">
        <f>HYPERLINK("http://dx.doi.org/10.1007/s11027-022-10003-y","http://dx.doi.org/10.1007/s11027-022-10003-y")</f>
        <v>http://dx.doi.org/10.1007/s11027-022-10003-y</v>
      </c>
    </row>
    <row r="476" spans="1:5" x14ac:dyDescent="0.3">
      <c r="A476" s="3">
        <v>475</v>
      </c>
      <c r="B476" s="4" t="s">
        <v>1128</v>
      </c>
      <c r="C476" s="4" t="s">
        <v>1129</v>
      </c>
      <c r="D476" s="4" t="s">
        <v>61</v>
      </c>
      <c r="E476" s="4" t="str">
        <f>HYPERLINK("http://dx.doi.org/10.1080/17565529.2022.2129954","http://dx.doi.org/10.1080/17565529.2022.2129954")</f>
        <v>http://dx.doi.org/10.1080/17565529.2022.2129954</v>
      </c>
    </row>
    <row r="477" spans="1:5" x14ac:dyDescent="0.3">
      <c r="A477" s="3">
        <v>476</v>
      </c>
      <c r="B477" s="4" t="s">
        <v>1130</v>
      </c>
      <c r="C477" s="4" t="s">
        <v>1131</v>
      </c>
      <c r="D477" s="4" t="s">
        <v>207</v>
      </c>
      <c r="E477" s="4" t="str">
        <f>HYPERLINK("http://dx.doi.org/10.1007/s10113-018-1333-7","http://dx.doi.org/10.1007/s10113-018-1333-7")</f>
        <v>http://dx.doi.org/10.1007/s10113-018-1333-7</v>
      </c>
    </row>
    <row r="478" spans="1:5" x14ac:dyDescent="0.3">
      <c r="A478" s="3">
        <v>477</v>
      </c>
      <c r="B478" s="4" t="s">
        <v>1132</v>
      </c>
      <c r="C478" s="4" t="s">
        <v>1133</v>
      </c>
      <c r="D478" s="4" t="s">
        <v>265</v>
      </c>
      <c r="E478" s="4" t="str">
        <f>HYPERLINK("http://dx.doi.org/10.1016/j.geoforum.2021.02.004","http://dx.doi.org/10.1016/j.geoforum.2021.02.004")</f>
        <v>http://dx.doi.org/10.1016/j.geoforum.2021.02.004</v>
      </c>
    </row>
    <row r="479" spans="1:5" x14ac:dyDescent="0.3">
      <c r="A479" s="3">
        <v>478</v>
      </c>
      <c r="B479" s="4" t="s">
        <v>1134</v>
      </c>
      <c r="C479" s="4" t="s">
        <v>1135</v>
      </c>
      <c r="D479" s="4" t="s">
        <v>751</v>
      </c>
      <c r="E479" s="4" t="str">
        <f>HYPERLINK("http://dx.doi.org/10.3390/ijerph18020463","http://dx.doi.org/10.3390/ijerph18020463")</f>
        <v>http://dx.doi.org/10.3390/ijerph18020463</v>
      </c>
    </row>
    <row r="480" spans="1:5" x14ac:dyDescent="0.3">
      <c r="A480" s="3">
        <v>479</v>
      </c>
      <c r="B480" s="4" t="s">
        <v>1136</v>
      </c>
      <c r="C480" s="4" t="s">
        <v>1137</v>
      </c>
      <c r="D480" s="4" t="s">
        <v>1138</v>
      </c>
      <c r="E480" s="4" t="str">
        <f>HYPERLINK("http://dx.doi.org/10.1016/j.envint.2023.107955","http://dx.doi.org/10.1016/j.envint.2023.107955")</f>
        <v>http://dx.doi.org/10.1016/j.envint.2023.107955</v>
      </c>
    </row>
    <row r="481" spans="1:5" x14ac:dyDescent="0.3">
      <c r="A481" s="3">
        <v>480</v>
      </c>
      <c r="B481" s="4" t="s">
        <v>1139</v>
      </c>
      <c r="C481" s="4" t="s">
        <v>1140</v>
      </c>
      <c r="D481" s="4" t="s">
        <v>34</v>
      </c>
      <c r="E481" s="4" t="str">
        <f>HYPERLINK("http://dx.doi.org/10.1016/j.landurbplan.2023.104831","http://dx.doi.org/10.1016/j.landurbplan.2023.104831")</f>
        <v>http://dx.doi.org/10.1016/j.landurbplan.2023.104831</v>
      </c>
    </row>
    <row r="482" spans="1:5" x14ac:dyDescent="0.3">
      <c r="A482" s="3">
        <v>481</v>
      </c>
      <c r="B482" s="4" t="s">
        <v>1141</v>
      </c>
      <c r="C482" s="4" t="s">
        <v>1142</v>
      </c>
      <c r="D482" s="4" t="s">
        <v>1143</v>
      </c>
      <c r="E482" s="4" t="str">
        <f>HYPERLINK("http://dx.doi.org/10.1111/mec.16848","http://dx.doi.org/10.1111/mec.16848")</f>
        <v>http://dx.doi.org/10.1111/mec.16848</v>
      </c>
    </row>
    <row r="483" spans="1:5" x14ac:dyDescent="0.3">
      <c r="A483" s="3">
        <v>482</v>
      </c>
      <c r="B483" s="4" t="s">
        <v>1144</v>
      </c>
      <c r="C483" s="4" t="s">
        <v>1145</v>
      </c>
      <c r="D483" s="4" t="s">
        <v>285</v>
      </c>
      <c r="E483" s="4" t="str">
        <f>HYPERLINK("http://dx.doi.org/10.1016/j.crm.2022.100394","http://dx.doi.org/10.1016/j.crm.2022.100394")</f>
        <v>http://dx.doi.org/10.1016/j.crm.2022.100394</v>
      </c>
    </row>
    <row r="484" spans="1:5" x14ac:dyDescent="0.3">
      <c r="A484" s="3">
        <v>483</v>
      </c>
      <c r="B484" s="4" t="s">
        <v>1146</v>
      </c>
      <c r="C484" s="4" t="s">
        <v>1147</v>
      </c>
      <c r="D484" s="4" t="s">
        <v>1148</v>
      </c>
      <c r="E484" s="4" t="str">
        <f>HYPERLINK("http://dx.doi.org/10.1016/j.tra.2022.07.006","http://dx.doi.org/10.1016/j.tra.2022.07.006")</f>
        <v>http://dx.doi.org/10.1016/j.tra.2022.07.006</v>
      </c>
    </row>
    <row r="485" spans="1:5" x14ac:dyDescent="0.3">
      <c r="A485" s="3">
        <v>484</v>
      </c>
      <c r="B485" s="4" t="s">
        <v>1149</v>
      </c>
      <c r="C485" s="4" t="s">
        <v>1150</v>
      </c>
      <c r="D485" s="4" t="s">
        <v>202</v>
      </c>
      <c r="E485" s="4" t="str">
        <f>HYPERLINK("http://dx.doi.org/10.1080/09640568.2023.2286927","http://dx.doi.org/10.1080/09640568.2023.2286927")</f>
        <v>http://dx.doi.org/10.1080/09640568.2023.2286927</v>
      </c>
    </row>
    <row r="486" spans="1:5" x14ac:dyDescent="0.3">
      <c r="A486" s="3">
        <v>485</v>
      </c>
      <c r="B486" s="4" t="s">
        <v>1151</v>
      </c>
      <c r="C486" s="4" t="s">
        <v>1152</v>
      </c>
      <c r="D486" s="4" t="s">
        <v>40</v>
      </c>
      <c r="E486" s="4" t="str">
        <f>HYPERLINK("http://dx.doi.org/10.3390/su11236735","http://dx.doi.org/10.3390/su11236735")</f>
        <v>http://dx.doi.org/10.3390/su11236735</v>
      </c>
    </row>
    <row r="487" spans="1:5" x14ac:dyDescent="0.3">
      <c r="A487" s="3">
        <v>486</v>
      </c>
      <c r="B487" s="4" t="s">
        <v>1153</v>
      </c>
      <c r="C487" s="4" t="s">
        <v>1154</v>
      </c>
      <c r="D487" s="4" t="s">
        <v>1155</v>
      </c>
      <c r="E487" s="4" t="str">
        <f>HYPERLINK("http://dx.doi.org/10.1111/nph.18465","http://dx.doi.org/10.1111/nph.18465")</f>
        <v>http://dx.doi.org/10.1111/nph.18465</v>
      </c>
    </row>
    <row r="488" spans="1:5" x14ac:dyDescent="0.3">
      <c r="A488" s="3">
        <v>487</v>
      </c>
      <c r="B488" s="4" t="s">
        <v>1156</v>
      </c>
      <c r="C488" s="4" t="s">
        <v>1157</v>
      </c>
      <c r="D488" s="4" t="s">
        <v>92</v>
      </c>
      <c r="E488" s="4" t="str">
        <f>HYPERLINK("http://dx.doi.org/10.1108/IJCCSM-03-2014-0038","http://dx.doi.org/10.1108/IJCCSM-03-2014-0038")</f>
        <v>http://dx.doi.org/10.1108/IJCCSM-03-2014-0038</v>
      </c>
    </row>
    <row r="489" spans="1:5" x14ac:dyDescent="0.3">
      <c r="A489" s="3">
        <v>488</v>
      </c>
      <c r="B489" s="4" t="s">
        <v>1158</v>
      </c>
      <c r="C489" s="4" t="s">
        <v>1159</v>
      </c>
      <c r="D489" s="4" t="s">
        <v>1160</v>
      </c>
      <c r="E489" s="4" t="str">
        <f>HYPERLINK("http://dx.doi.org/10.1016/j.retrec.2016.04.008","http://dx.doi.org/10.1016/j.retrec.2016.04.008")</f>
        <v>http://dx.doi.org/10.1016/j.retrec.2016.04.008</v>
      </c>
    </row>
    <row r="490" spans="1:5" x14ac:dyDescent="0.3">
      <c r="A490" s="3">
        <v>489</v>
      </c>
      <c r="B490" s="4" t="s">
        <v>1161</v>
      </c>
      <c r="C490" s="4" t="s">
        <v>1162</v>
      </c>
      <c r="D490" s="4" t="s">
        <v>29</v>
      </c>
      <c r="E490" s="4" t="str">
        <f>HYPERLINK("http://dx.doi.org/10.1016/j.envsci.2014.11.002","http://dx.doi.org/10.1016/j.envsci.2014.11.002")</f>
        <v>http://dx.doi.org/10.1016/j.envsci.2014.11.002</v>
      </c>
    </row>
    <row r="491" spans="1:5" x14ac:dyDescent="0.3">
      <c r="A491" s="3">
        <v>490</v>
      </c>
      <c r="B491" s="4" t="s">
        <v>1163</v>
      </c>
      <c r="C491" s="4" t="s">
        <v>1164</v>
      </c>
      <c r="D491" s="4" t="s">
        <v>61</v>
      </c>
      <c r="E491" s="4" t="str">
        <f>HYPERLINK("http://dx.doi.org/10.1080/17565529.2024.2321156","http://dx.doi.org/10.1080/17565529.2024.2321156")</f>
        <v>http://dx.doi.org/10.1080/17565529.2024.2321156</v>
      </c>
    </row>
    <row r="492" spans="1:5" x14ac:dyDescent="0.3">
      <c r="A492" s="3">
        <v>491</v>
      </c>
      <c r="B492" s="4" t="s">
        <v>1165</v>
      </c>
      <c r="C492" s="4" t="s">
        <v>1166</v>
      </c>
      <c r="D492" s="4" t="s">
        <v>34</v>
      </c>
      <c r="E492" s="4" t="str">
        <f>HYPERLINK("http://dx.doi.org/10.1016/j.landurbplan.2024.105054","http://dx.doi.org/10.1016/j.landurbplan.2024.105054")</f>
        <v>http://dx.doi.org/10.1016/j.landurbplan.2024.105054</v>
      </c>
    </row>
    <row r="493" spans="1:5" x14ac:dyDescent="0.3">
      <c r="A493" s="3">
        <v>492</v>
      </c>
      <c r="B493" s="4" t="s">
        <v>1167</v>
      </c>
      <c r="C493" s="4" t="s">
        <v>1168</v>
      </c>
      <c r="D493" s="4" t="s">
        <v>285</v>
      </c>
      <c r="E493" s="4" t="str">
        <f>HYPERLINK("http://dx.doi.org/10.1016/j.crm.2021.100376","http://dx.doi.org/10.1016/j.crm.2021.100376")</f>
        <v>http://dx.doi.org/10.1016/j.crm.2021.100376</v>
      </c>
    </row>
    <row r="494" spans="1:5" x14ac:dyDescent="0.3">
      <c r="A494" s="3">
        <v>493</v>
      </c>
      <c r="B494" s="4" t="s">
        <v>1169</v>
      </c>
      <c r="C494" s="4" t="s">
        <v>1170</v>
      </c>
      <c r="D494" s="4" t="s">
        <v>992</v>
      </c>
      <c r="E494" s="4" t="str">
        <f>HYPERLINK("http://dx.doi.org/10.1038/s42949-023-00085-1","http://dx.doi.org/10.1038/s42949-023-00085-1")</f>
        <v>http://dx.doi.org/10.1038/s42949-023-00085-1</v>
      </c>
    </row>
    <row r="495" spans="1:5" x14ac:dyDescent="0.3">
      <c r="A495" s="3">
        <v>494</v>
      </c>
      <c r="B495" s="4" t="s">
        <v>1171</v>
      </c>
      <c r="C495" s="4" t="s">
        <v>1172</v>
      </c>
      <c r="D495" s="4" t="s">
        <v>9</v>
      </c>
      <c r="E495" s="4" t="str">
        <f>HYPERLINK("http://dx.doi.org/10.1016/j.gloenvcha.2019.101928","http://dx.doi.org/10.1016/j.gloenvcha.2019.101928")</f>
        <v>http://dx.doi.org/10.1016/j.gloenvcha.2019.101928</v>
      </c>
    </row>
    <row r="496" spans="1:5" x14ac:dyDescent="0.3">
      <c r="A496" s="3">
        <v>495</v>
      </c>
      <c r="B496" s="4" t="s">
        <v>1173</v>
      </c>
      <c r="C496" s="4" t="s">
        <v>1174</v>
      </c>
      <c r="D496" s="4" t="s">
        <v>326</v>
      </c>
      <c r="E496" s="4" t="str">
        <f>HYPERLINK("http://dx.doi.org/10.1016/j.erss.2022.102495","http://dx.doi.org/10.1016/j.erss.2022.102495")</f>
        <v>http://dx.doi.org/10.1016/j.erss.2022.102495</v>
      </c>
    </row>
    <row r="497" spans="1:5" x14ac:dyDescent="0.3">
      <c r="A497" s="3">
        <v>496</v>
      </c>
      <c r="B497" s="4" t="s">
        <v>1175</v>
      </c>
      <c r="C497" s="4" t="s">
        <v>1176</v>
      </c>
      <c r="D497" s="4" t="s">
        <v>9</v>
      </c>
      <c r="E497" s="4" t="str">
        <f>HYPERLINK("http://dx.doi.org/10.1016/j.gloenvcha.2023.102761","http://dx.doi.org/10.1016/j.gloenvcha.2023.102761")</f>
        <v>http://dx.doi.org/10.1016/j.gloenvcha.2023.102761</v>
      </c>
    </row>
    <row r="498" spans="1:5" x14ac:dyDescent="0.3">
      <c r="A498" s="3">
        <v>497</v>
      </c>
      <c r="B498" s="4" t="s">
        <v>1177</v>
      </c>
      <c r="C498" s="4" t="s">
        <v>1178</v>
      </c>
      <c r="D498" s="4" t="s">
        <v>896</v>
      </c>
      <c r="E498" s="4" t="str">
        <f>HYPERLINK("http://dx.doi.org/10.1029/2020EF001939","http://dx.doi.org/10.1029/2020EF001939")</f>
        <v>http://dx.doi.org/10.1029/2020EF001939</v>
      </c>
    </row>
    <row r="499" spans="1:5" x14ac:dyDescent="0.3">
      <c r="A499" s="3">
        <v>498</v>
      </c>
      <c r="B499" s="4" t="s">
        <v>821</v>
      </c>
      <c r="C499" s="4" t="s">
        <v>1179</v>
      </c>
      <c r="D499" s="4" t="s">
        <v>40</v>
      </c>
      <c r="E499" s="4" t="str">
        <f>HYPERLINK("http://dx.doi.org/10.3390/su12145654","http://dx.doi.org/10.3390/su12145654")</f>
        <v>http://dx.doi.org/10.3390/su12145654</v>
      </c>
    </row>
    <row r="500" spans="1:5" x14ac:dyDescent="0.3">
      <c r="A500" s="3">
        <v>499</v>
      </c>
      <c r="B500" s="4" t="s">
        <v>1180</v>
      </c>
      <c r="C500" s="4" t="s">
        <v>1181</v>
      </c>
      <c r="D500" s="4" t="s">
        <v>1182</v>
      </c>
      <c r="E500" s="4" t="str">
        <f>HYPERLINK("http://dx.doi.org/10.3390/ijerph14040342","http://dx.doi.org/10.3390/ijerph14040342")</f>
        <v>http://dx.doi.org/10.3390/ijerph14040342</v>
      </c>
    </row>
    <row r="501" spans="1:5" x14ac:dyDescent="0.3">
      <c r="A501" s="3">
        <v>500</v>
      </c>
      <c r="B501" s="4" t="s">
        <v>1183</v>
      </c>
      <c r="C501" s="4" t="s">
        <v>1184</v>
      </c>
      <c r="D501" s="4" t="s">
        <v>15</v>
      </c>
      <c r="E501" s="4" t="str">
        <f>HYPERLINK("http://dx.doi.org/10.1080/13549839.2019.1580688","http://dx.doi.org/10.1080/13549839.2019.1580688")</f>
        <v>http://dx.doi.org/10.1080/13549839.2019.1580688</v>
      </c>
    </row>
    <row r="502" spans="1:5" x14ac:dyDescent="0.3">
      <c r="A502" s="3">
        <v>501</v>
      </c>
      <c r="B502" s="4" t="s">
        <v>1185</v>
      </c>
      <c r="C502" s="4" t="s">
        <v>1186</v>
      </c>
      <c r="D502" s="4" t="s">
        <v>1187</v>
      </c>
      <c r="E502" s="4" t="str">
        <f>HYPERLINK("http://dx.doi.org/10.1007/s11524-011-9607-0","http://dx.doi.org/10.1007/s11524-011-9607-0")</f>
        <v>http://dx.doi.org/10.1007/s11524-011-9607-0</v>
      </c>
    </row>
    <row r="503" spans="1:5" x14ac:dyDescent="0.3">
      <c r="A503" s="3">
        <v>502</v>
      </c>
      <c r="B503" s="4" t="s">
        <v>1188</v>
      </c>
      <c r="C503" s="4" t="s">
        <v>1189</v>
      </c>
      <c r="D503" s="4" t="s">
        <v>591</v>
      </c>
      <c r="E503" s="4" t="str">
        <f>HYPERLINK("http://dx.doi.org/10.1016/j.marpol.2017.11.018","http://dx.doi.org/10.1016/j.marpol.2017.11.018")</f>
        <v>http://dx.doi.org/10.1016/j.marpol.2017.11.018</v>
      </c>
    </row>
    <row r="504" spans="1:5" x14ac:dyDescent="0.3">
      <c r="A504" s="3">
        <v>503</v>
      </c>
      <c r="B504" s="4" t="s">
        <v>1190</v>
      </c>
      <c r="C504" s="4" t="s">
        <v>1191</v>
      </c>
      <c r="D504" s="4" t="s">
        <v>64</v>
      </c>
      <c r="E504" s="4" t="str">
        <f>HYPERLINK("http://dx.doi.org/10.1080/14693062.2023.2276857","http://dx.doi.org/10.1080/14693062.2023.2276857")</f>
        <v>http://dx.doi.org/10.1080/14693062.2023.2276857</v>
      </c>
    </row>
    <row r="505" spans="1:5" x14ac:dyDescent="0.3">
      <c r="A505" s="3">
        <v>504</v>
      </c>
      <c r="B505" s="4" t="s">
        <v>1192</v>
      </c>
      <c r="C505" s="4" t="s">
        <v>1193</v>
      </c>
      <c r="D505" s="4" t="s">
        <v>1194</v>
      </c>
      <c r="E505" s="4" t="str">
        <f>HYPERLINK("http://dx.doi.org/10.1061/(ASCE)WR.1943-5452.0000735","http://dx.doi.org/10.1061/(ASCE)WR.1943-5452.0000735")</f>
        <v>http://dx.doi.org/10.1061/(ASCE)WR.1943-5452.0000735</v>
      </c>
    </row>
    <row r="506" spans="1:5" x14ac:dyDescent="0.3">
      <c r="A506" s="3">
        <v>505</v>
      </c>
      <c r="B506" s="4" t="s">
        <v>1195</v>
      </c>
      <c r="C506" s="4" t="s">
        <v>1196</v>
      </c>
      <c r="D506" s="4" t="s">
        <v>1197</v>
      </c>
      <c r="E506" s="4" t="str">
        <f>HYPERLINK("http://dx.doi.org/10.1016/j.scitotenv.2024.174524","http://dx.doi.org/10.1016/j.scitotenv.2024.174524")</f>
        <v>http://dx.doi.org/10.1016/j.scitotenv.2024.174524</v>
      </c>
    </row>
    <row r="507" spans="1:5" x14ac:dyDescent="0.3">
      <c r="A507" s="3">
        <v>506</v>
      </c>
      <c r="B507" s="4" t="s">
        <v>1198</v>
      </c>
      <c r="C507" s="4" t="s">
        <v>1199</v>
      </c>
      <c r="D507" s="4" t="s">
        <v>1083</v>
      </c>
      <c r="E507" s="4" t="str">
        <f>HYPERLINK("http://dx.doi.org/10.1080/17445647.2024.2309313","http://dx.doi.org/10.1080/17445647.2024.2309313")</f>
        <v>http://dx.doi.org/10.1080/17445647.2024.2309313</v>
      </c>
    </row>
    <row r="508" spans="1:5" x14ac:dyDescent="0.3">
      <c r="A508" s="3">
        <v>507</v>
      </c>
      <c r="B508" s="4" t="s">
        <v>1200</v>
      </c>
      <c r="C508" s="4" t="s">
        <v>1201</v>
      </c>
      <c r="D508" s="4" t="s">
        <v>67</v>
      </c>
      <c r="E508" s="4" t="str">
        <f>HYPERLINK("http://dx.doi.org/10.1016/j.worlddev.2022.106020","http://dx.doi.org/10.1016/j.worlddev.2022.106020")</f>
        <v>http://dx.doi.org/10.1016/j.worlddev.2022.106020</v>
      </c>
    </row>
    <row r="509" spans="1:5" x14ac:dyDescent="0.3">
      <c r="A509" s="3">
        <v>508</v>
      </c>
      <c r="B509" s="4" t="s">
        <v>1202</v>
      </c>
      <c r="C509" s="4" t="s">
        <v>1203</v>
      </c>
      <c r="D509" s="4" t="s">
        <v>1088</v>
      </c>
      <c r="E509" s="4" t="str">
        <f>HYPERLINK("http://dx.doi.org/10.1016/j.eneco.2013.09.005","http://dx.doi.org/10.1016/j.eneco.2013.09.005")</f>
        <v>http://dx.doi.org/10.1016/j.eneco.2013.09.005</v>
      </c>
    </row>
    <row r="510" spans="1:5" x14ac:dyDescent="0.3">
      <c r="A510" s="3">
        <v>509</v>
      </c>
      <c r="B510" s="4" t="s">
        <v>1204</v>
      </c>
      <c r="C510" s="4" t="s">
        <v>1205</v>
      </c>
      <c r="D510" s="4" t="s">
        <v>1206</v>
      </c>
      <c r="E510" s="4" t="str">
        <f>HYPERLINK("http://dx.doi.org/10.1016/j.gloenvcha.2022.102576","http://dx.doi.org/10.1016/j.gloenvcha.2022.102576")</f>
        <v>http://dx.doi.org/10.1016/j.gloenvcha.2022.102576</v>
      </c>
    </row>
    <row r="511" spans="1:5" x14ac:dyDescent="0.3">
      <c r="A511" s="3">
        <v>510</v>
      </c>
      <c r="B511" s="4" t="s">
        <v>1207</v>
      </c>
      <c r="C511" s="4" t="s">
        <v>1208</v>
      </c>
      <c r="D511" s="4" t="s">
        <v>342</v>
      </c>
      <c r="E511" s="4" t="str">
        <f>HYPERLINK("http://dx.doi.org/10.1016/j.oneear.2024.02.004","http://dx.doi.org/10.1016/j.oneear.2024.02.004")</f>
        <v>http://dx.doi.org/10.1016/j.oneear.2024.02.004</v>
      </c>
    </row>
    <row r="512" spans="1:5" x14ac:dyDescent="0.3">
      <c r="A512" s="3">
        <v>511</v>
      </c>
      <c r="B512" s="4" t="s">
        <v>1209</v>
      </c>
      <c r="C512" s="4" t="s">
        <v>1210</v>
      </c>
      <c r="D512" s="4" t="s">
        <v>311</v>
      </c>
      <c r="E512" s="4" t="str">
        <f>HYPERLINK("http://dx.doi.org/10.1177/0308518X17707525","http://dx.doi.org/10.1177/0308518X17707525")</f>
        <v>http://dx.doi.org/10.1177/0308518X17707525</v>
      </c>
    </row>
    <row r="513" spans="1:5" x14ac:dyDescent="0.3">
      <c r="A513" s="3">
        <v>512</v>
      </c>
      <c r="B513" s="4" t="s">
        <v>1211</v>
      </c>
      <c r="C513" s="4" t="s">
        <v>1212</v>
      </c>
      <c r="D513" s="4" t="s">
        <v>1213</v>
      </c>
      <c r="E513" s="4" t="str">
        <f>HYPERLINK("http://dx.doi.org/10.1016/j.agee.2019.04.004","http://dx.doi.org/10.1016/j.agee.2019.04.004")</f>
        <v>http://dx.doi.org/10.1016/j.agee.2019.04.004</v>
      </c>
    </row>
    <row r="514" spans="1:5" x14ac:dyDescent="0.3">
      <c r="A514" s="3">
        <v>513</v>
      </c>
      <c r="B514" s="4" t="s">
        <v>1214</v>
      </c>
      <c r="C514" s="4" t="s">
        <v>1215</v>
      </c>
      <c r="D514" s="4" t="s">
        <v>818</v>
      </c>
      <c r="E514" s="4" t="str">
        <f>HYPERLINK("http://dx.doi.org/10.3390/land9120471","http://dx.doi.org/10.3390/land9120471")</f>
        <v>http://dx.doi.org/10.3390/land9120471</v>
      </c>
    </row>
    <row r="515" spans="1:5" x14ac:dyDescent="0.3">
      <c r="A515" s="3">
        <v>514</v>
      </c>
      <c r="B515" s="4" t="s">
        <v>1216</v>
      </c>
      <c r="C515" s="4" t="s">
        <v>1217</v>
      </c>
      <c r="D515" s="4" t="s">
        <v>285</v>
      </c>
      <c r="E515" s="4" t="str">
        <f>HYPERLINK("http://dx.doi.org/10.1016/j.crm.2024.100670","http://dx.doi.org/10.1016/j.crm.2024.100670")</f>
        <v>http://dx.doi.org/10.1016/j.crm.2024.100670</v>
      </c>
    </row>
    <row r="516" spans="1:5" x14ac:dyDescent="0.3">
      <c r="A516" s="3">
        <v>515</v>
      </c>
      <c r="B516" s="4" t="s">
        <v>1218</v>
      </c>
      <c r="C516" s="4" t="s">
        <v>1219</v>
      </c>
      <c r="D516" s="4" t="s">
        <v>1220</v>
      </c>
      <c r="E516" s="4" t="str">
        <f>HYPERLINK("http://dx.doi.org/10.3354/cr01741","http://dx.doi.org/10.3354/cr01741")</f>
        <v>http://dx.doi.org/10.3354/cr01741</v>
      </c>
    </row>
    <row r="517" spans="1:5" x14ac:dyDescent="0.3">
      <c r="A517" s="3">
        <v>516</v>
      </c>
      <c r="B517" s="4" t="s">
        <v>1221</v>
      </c>
      <c r="C517" s="4" t="s">
        <v>1222</v>
      </c>
      <c r="D517" s="4" t="s">
        <v>207</v>
      </c>
      <c r="E517" s="4" t="str">
        <f>HYPERLINK("http://dx.doi.org/10.1007/s10113-014-0727-4","http://dx.doi.org/10.1007/s10113-014-0727-4")</f>
        <v>http://dx.doi.org/10.1007/s10113-014-0727-4</v>
      </c>
    </row>
    <row r="518" spans="1:5" x14ac:dyDescent="0.3">
      <c r="A518" s="3">
        <v>517</v>
      </c>
      <c r="B518" s="4" t="s">
        <v>1223</v>
      </c>
      <c r="C518" s="4" t="s">
        <v>1224</v>
      </c>
      <c r="D518" s="4" t="s">
        <v>210</v>
      </c>
      <c r="E518" s="5" t="str">
        <f>HYPERLINK("http://dx.doi.org/10.1177/2514848618792821","http://dx.doi.org/10.1177/2514848618792821")</f>
        <v>http://dx.doi.org/10.1177/2514848618792821</v>
      </c>
    </row>
    <row r="519" spans="1:5" x14ac:dyDescent="0.3">
      <c r="A519" s="3">
        <v>518</v>
      </c>
      <c r="B519" s="4" t="s">
        <v>1225</v>
      </c>
      <c r="C519" s="4" t="s">
        <v>1226</v>
      </c>
      <c r="D519" s="4" t="s">
        <v>567</v>
      </c>
      <c r="E519" s="4" t="str">
        <f>HYPERLINK("http://dx.doi.org/10.1080/02723638.2020.1841470","http://dx.doi.org/10.1080/02723638.2020.1841470")</f>
        <v>http://dx.doi.org/10.1080/02723638.2020.1841470</v>
      </c>
    </row>
    <row r="520" spans="1:5" x14ac:dyDescent="0.3">
      <c r="A520" s="3">
        <v>519</v>
      </c>
      <c r="B520" s="4" t="s">
        <v>1227</v>
      </c>
      <c r="C520" s="4" t="s">
        <v>1228</v>
      </c>
      <c r="D520" s="4" t="s">
        <v>751</v>
      </c>
      <c r="E520" s="4" t="str">
        <f>HYPERLINK("http://dx.doi.org/10.3390/ijerph191811192","http://dx.doi.org/10.3390/ijerph191811192")</f>
        <v>http://dx.doi.org/10.3390/ijerph191811192</v>
      </c>
    </row>
    <row r="521" spans="1:5" x14ac:dyDescent="0.3">
      <c r="A521" s="3">
        <v>520</v>
      </c>
      <c r="B521" s="4" t="s">
        <v>1229</v>
      </c>
      <c r="C521" s="4" t="s">
        <v>1230</v>
      </c>
      <c r="D521" s="4" t="s">
        <v>40</v>
      </c>
      <c r="E521" s="4" t="str">
        <f>HYPERLINK("http://dx.doi.org/10.3390/su14095452","http://dx.doi.org/10.3390/su14095452")</f>
        <v>http://dx.doi.org/10.3390/su14095452</v>
      </c>
    </row>
    <row r="522" spans="1:5" x14ac:dyDescent="0.3">
      <c r="A522" s="3">
        <v>521</v>
      </c>
      <c r="B522" s="4" t="s">
        <v>1231</v>
      </c>
      <c r="C522" s="4" t="s">
        <v>1232</v>
      </c>
      <c r="D522" s="4" t="s">
        <v>914</v>
      </c>
      <c r="E522" s="4" t="str">
        <f>HYPERLINK("http://dx.doi.org/10.1016/j.ijdrr.2023.104069","http://dx.doi.org/10.1016/j.ijdrr.2023.104069")</f>
        <v>http://dx.doi.org/10.1016/j.ijdrr.2023.104069</v>
      </c>
    </row>
    <row r="523" spans="1:5" x14ac:dyDescent="0.3">
      <c r="A523" s="3">
        <v>522</v>
      </c>
      <c r="B523" s="4" t="s">
        <v>1233</v>
      </c>
      <c r="C523" s="4" t="s">
        <v>1234</v>
      </c>
      <c r="D523" s="4" t="s">
        <v>1235</v>
      </c>
      <c r="E523" s="4" t="str">
        <f>HYPERLINK("http://dx.doi.org/10.1080/02650533.2024.2411048","http://dx.doi.org/10.1080/02650533.2024.2411048")</f>
        <v>http://dx.doi.org/10.1080/02650533.2024.2411048</v>
      </c>
    </row>
    <row r="524" spans="1:5" x14ac:dyDescent="0.3">
      <c r="A524" s="3">
        <v>523</v>
      </c>
      <c r="B524" s="4" t="s">
        <v>1236</v>
      </c>
      <c r="C524" s="4" t="s">
        <v>1237</v>
      </c>
      <c r="D524" s="4" t="s">
        <v>1238</v>
      </c>
      <c r="E524" s="4" t="str">
        <f>HYPERLINK("http://dx.doi.org/10.1002/sd.2708","http://dx.doi.org/10.1002/sd.2708")</f>
        <v>http://dx.doi.org/10.1002/sd.2708</v>
      </c>
    </row>
    <row r="525" spans="1:5" x14ac:dyDescent="0.3">
      <c r="A525" s="3">
        <v>524</v>
      </c>
      <c r="B525" s="4" t="s">
        <v>1239</v>
      </c>
      <c r="C525" s="4" t="s">
        <v>1240</v>
      </c>
      <c r="D525" s="4" t="s">
        <v>20</v>
      </c>
      <c r="E525" s="4" t="str">
        <f>HYPERLINK("http://dx.doi.org/10.1088/1748-9326/acbaae","http://dx.doi.org/10.1088/1748-9326/acbaae")</f>
        <v>http://dx.doi.org/10.1088/1748-9326/acbaae</v>
      </c>
    </row>
    <row r="526" spans="1:5" x14ac:dyDescent="0.3">
      <c r="A526" s="3">
        <v>525</v>
      </c>
      <c r="B526" s="4" t="s">
        <v>1241</v>
      </c>
      <c r="C526" s="4" t="s">
        <v>1242</v>
      </c>
      <c r="D526" s="4" t="s">
        <v>82</v>
      </c>
      <c r="E526" s="4" t="str">
        <f>HYPERLINK("http://dx.doi.org/10.1007/s11625-021-00951-w","http://dx.doi.org/10.1007/s11625-021-00951-w")</f>
        <v>http://dx.doi.org/10.1007/s11625-021-00951-w</v>
      </c>
    </row>
    <row r="527" spans="1:5" x14ac:dyDescent="0.3">
      <c r="A527" s="3">
        <v>526</v>
      </c>
      <c r="B527" s="4" t="s">
        <v>1243</v>
      </c>
      <c r="C527" s="4" t="s">
        <v>1244</v>
      </c>
      <c r="D527" s="4" t="s">
        <v>244</v>
      </c>
      <c r="E527" s="4" t="str">
        <f>HYPERLINK("http://dx.doi.org/10.1016/j.jenvman.2021.113751","http://dx.doi.org/10.1016/j.jenvman.2021.113751")</f>
        <v>http://dx.doi.org/10.1016/j.jenvman.2021.113751</v>
      </c>
    </row>
    <row r="528" spans="1:5" x14ac:dyDescent="0.3">
      <c r="A528" s="3">
        <v>527</v>
      </c>
      <c r="B528" s="4" t="s">
        <v>1245</v>
      </c>
      <c r="C528" s="4" t="s">
        <v>1246</v>
      </c>
      <c r="D528" s="4" t="s">
        <v>40</v>
      </c>
      <c r="E528" s="4" t="str">
        <f>HYPERLINK("http://dx.doi.org/10.3390/su16135275","http://dx.doi.org/10.3390/su16135275")</f>
        <v>http://dx.doi.org/10.3390/su16135275</v>
      </c>
    </row>
    <row r="529" spans="1:5" x14ac:dyDescent="0.3">
      <c r="A529" s="3">
        <v>528</v>
      </c>
      <c r="B529" s="4" t="s">
        <v>1247</v>
      </c>
      <c r="C529" s="4" t="s">
        <v>1248</v>
      </c>
      <c r="D529" s="4" t="s">
        <v>444</v>
      </c>
      <c r="E529" s="4" t="str">
        <f>HYPERLINK("http://dx.doi.org/10.3390/w9120934","http://dx.doi.org/10.3390/w9120934")</f>
        <v>http://dx.doi.org/10.3390/w9120934</v>
      </c>
    </row>
    <row r="530" spans="1:5" x14ac:dyDescent="0.3">
      <c r="A530" s="3">
        <v>529</v>
      </c>
      <c r="B530" s="4" t="s">
        <v>1249</v>
      </c>
      <c r="C530" s="4" t="s">
        <v>1250</v>
      </c>
      <c r="D530" s="4" t="s">
        <v>207</v>
      </c>
      <c r="E530" s="4" t="str">
        <f>HYPERLINK("http://dx.doi.org/10.1007/s10113-020-01614-9","http://dx.doi.org/10.1007/s10113-020-01614-9")</f>
        <v>http://dx.doi.org/10.1007/s10113-020-01614-9</v>
      </c>
    </row>
    <row r="531" spans="1:5" x14ac:dyDescent="0.3">
      <c r="A531" s="3">
        <v>530</v>
      </c>
      <c r="B531" s="4" t="s">
        <v>1251</v>
      </c>
      <c r="C531" s="4" t="s">
        <v>1252</v>
      </c>
      <c r="D531" s="4" t="s">
        <v>20</v>
      </c>
      <c r="E531" s="4" t="str">
        <f>HYPERLINK("http://dx.doi.org/10.1088/1748-9326/aaf07a","http://dx.doi.org/10.1088/1748-9326/aaf07a")</f>
        <v>http://dx.doi.org/10.1088/1748-9326/aaf07a</v>
      </c>
    </row>
    <row r="532" spans="1:5" x14ac:dyDescent="0.3">
      <c r="A532" s="3">
        <v>531</v>
      </c>
      <c r="B532" s="4" t="s">
        <v>1253</v>
      </c>
      <c r="C532" s="4" t="s">
        <v>1254</v>
      </c>
      <c r="D532" s="4" t="s">
        <v>1255</v>
      </c>
      <c r="E532" s="4" t="str">
        <f>HYPERLINK("http://dx.doi.org/10.3402/gha.v6i0.21820","http://dx.doi.org/10.3402/gha.v6i0.21820")</f>
        <v>http://dx.doi.org/10.3402/gha.v6i0.21820</v>
      </c>
    </row>
    <row r="533" spans="1:5" x14ac:dyDescent="0.3">
      <c r="A533" s="3">
        <v>532</v>
      </c>
      <c r="B533" s="4" t="s">
        <v>1256</v>
      </c>
      <c r="C533" s="4" t="s">
        <v>1257</v>
      </c>
      <c r="D533" s="4" t="s">
        <v>818</v>
      </c>
      <c r="E533" s="4" t="str">
        <f>HYPERLINK("http://dx.doi.org/10.3390/land11020276","http://dx.doi.org/10.3390/land11020276")</f>
        <v>http://dx.doi.org/10.3390/land11020276</v>
      </c>
    </row>
    <row r="534" spans="1:5" x14ac:dyDescent="0.3">
      <c r="A534" s="3">
        <v>533</v>
      </c>
      <c r="B534" s="4" t="s">
        <v>1258</v>
      </c>
      <c r="C534" s="4" t="s">
        <v>1259</v>
      </c>
      <c r="D534" s="4" t="s">
        <v>46</v>
      </c>
      <c r="E534" s="4" t="str">
        <f>HYPERLINK("http://dx.doi.org/10.1007/s10584-015-1378-2","http://dx.doi.org/10.1007/s10584-015-1378-2")</f>
        <v>http://dx.doi.org/10.1007/s10584-015-1378-2</v>
      </c>
    </row>
    <row r="535" spans="1:5" x14ac:dyDescent="0.3">
      <c r="A535" s="3">
        <v>534</v>
      </c>
      <c r="B535" s="4" t="s">
        <v>1260</v>
      </c>
      <c r="C535" s="4" t="s">
        <v>1261</v>
      </c>
      <c r="D535" s="4" t="s">
        <v>40</v>
      </c>
      <c r="E535" s="4" t="str">
        <f>HYPERLINK("http://dx.doi.org/10.3390/su15064977","http://dx.doi.org/10.3390/su15064977")</f>
        <v>http://dx.doi.org/10.3390/su15064977</v>
      </c>
    </row>
    <row r="536" spans="1:5" x14ac:dyDescent="0.3">
      <c r="A536" s="3">
        <v>535</v>
      </c>
      <c r="B536" s="4" t="s">
        <v>1262</v>
      </c>
      <c r="C536" s="4" t="s">
        <v>1263</v>
      </c>
      <c r="D536" s="4" t="s">
        <v>1264</v>
      </c>
      <c r="E536" s="4" t="str">
        <f>HYPERLINK("http://dx.doi.org/10.1111/1468-2427.12725","http://dx.doi.org/10.1111/1468-2427.12725")</f>
        <v>http://dx.doi.org/10.1111/1468-2427.12725</v>
      </c>
    </row>
    <row r="537" spans="1:5" x14ac:dyDescent="0.3">
      <c r="A537" s="3">
        <v>536</v>
      </c>
      <c r="B537" s="4" t="s">
        <v>1265</v>
      </c>
      <c r="C537" s="4" t="s">
        <v>1266</v>
      </c>
      <c r="D537" s="4" t="s">
        <v>23</v>
      </c>
      <c r="E537" s="4" t="str">
        <f>HYPERLINK("http://dx.doi.org/10.1016/j.uclim.2021.100783","http://dx.doi.org/10.1016/j.uclim.2021.100783")</f>
        <v>http://dx.doi.org/10.1016/j.uclim.2021.100783</v>
      </c>
    </row>
    <row r="538" spans="1:5" x14ac:dyDescent="0.3">
      <c r="A538" s="3">
        <v>537</v>
      </c>
      <c r="B538" s="4" t="s">
        <v>1267</v>
      </c>
      <c r="C538" s="4" t="s">
        <v>1268</v>
      </c>
      <c r="D538" s="4" t="s">
        <v>46</v>
      </c>
      <c r="E538" s="4" t="str">
        <f>HYPERLINK("http://dx.doi.org/10.1007/s10584-019-02534-2","http://dx.doi.org/10.1007/s10584-019-02534-2")</f>
        <v>http://dx.doi.org/10.1007/s10584-019-02534-2</v>
      </c>
    </row>
    <row r="539" spans="1:5" x14ac:dyDescent="0.3">
      <c r="A539" s="3">
        <v>538</v>
      </c>
      <c r="B539" s="4" t="s">
        <v>1269</v>
      </c>
      <c r="C539" s="4" t="s">
        <v>1270</v>
      </c>
      <c r="D539" s="4" t="s">
        <v>659</v>
      </c>
      <c r="E539" s="4" t="str">
        <f>HYPERLINK("http://dx.doi.org/10.1080/17477891.2021.1945996","http://dx.doi.org/10.1080/17477891.2021.1945996")</f>
        <v>http://dx.doi.org/10.1080/17477891.2021.1945996</v>
      </c>
    </row>
    <row r="540" spans="1:5" x14ac:dyDescent="0.3">
      <c r="A540" s="3">
        <v>539</v>
      </c>
      <c r="B540" s="4" t="s">
        <v>1271</v>
      </c>
      <c r="C540" s="4" t="s">
        <v>1272</v>
      </c>
      <c r="D540" s="4" t="s">
        <v>418</v>
      </c>
      <c r="E540" s="4" t="str">
        <f>HYPERLINK("http://dx.doi.org/10.1016/j.trd.2024.104371","http://dx.doi.org/10.1016/j.trd.2024.104371")</f>
        <v>http://dx.doi.org/10.1016/j.trd.2024.104371</v>
      </c>
    </row>
    <row r="541" spans="1:5" x14ac:dyDescent="0.3">
      <c r="A541" s="3">
        <v>540</v>
      </c>
      <c r="B541" s="4" t="s">
        <v>1273</v>
      </c>
      <c r="C541" s="4" t="s">
        <v>1274</v>
      </c>
      <c r="D541" s="4" t="s">
        <v>1099</v>
      </c>
      <c r="E541" s="4" t="str">
        <f>HYPERLINK("http://dx.doi.org/10.1016/j.apgeog.2017.10.002","http://dx.doi.org/10.1016/j.apgeog.2017.10.002")</f>
        <v>http://dx.doi.org/10.1016/j.apgeog.2017.10.002</v>
      </c>
    </row>
    <row r="542" spans="1:5" x14ac:dyDescent="0.3">
      <c r="A542" s="3">
        <v>541</v>
      </c>
      <c r="B542" s="4" t="s">
        <v>1275</v>
      </c>
      <c r="C542" s="4" t="s">
        <v>1276</v>
      </c>
      <c r="D542" s="4" t="s">
        <v>1277</v>
      </c>
      <c r="E542" s="4" t="str">
        <f>HYPERLINK("http://dx.doi.org/10.1080/03623319.2020.1774720","http://dx.doi.org/10.1080/03623319.2020.1774720")</f>
        <v>http://dx.doi.org/10.1080/03623319.2020.1774720</v>
      </c>
    </row>
    <row r="543" spans="1:5" x14ac:dyDescent="0.3">
      <c r="A543" s="3">
        <v>542</v>
      </c>
      <c r="B543" s="4" t="s">
        <v>1278</v>
      </c>
      <c r="C543" s="4" t="s">
        <v>1279</v>
      </c>
      <c r="D543" s="4" t="s">
        <v>29</v>
      </c>
      <c r="E543" s="4" t="str">
        <f>HYPERLINK("http://dx.doi.org/10.1016/j.envsci.2024.103892","http://dx.doi.org/10.1016/j.envsci.2024.103892")</f>
        <v>http://dx.doi.org/10.1016/j.envsci.2024.103892</v>
      </c>
    </row>
    <row r="544" spans="1:5" x14ac:dyDescent="0.3">
      <c r="A544" s="3">
        <v>543</v>
      </c>
      <c r="B544" s="4" t="s">
        <v>1280</v>
      </c>
      <c r="C544" s="4" t="s">
        <v>1281</v>
      </c>
      <c r="D544" s="4" t="s">
        <v>976</v>
      </c>
      <c r="E544" s="4" t="str">
        <f>HYPERLINK("http://dx.doi.org/10.1111/gcb.13506","http://dx.doi.org/10.1111/gcb.13506")</f>
        <v>http://dx.doi.org/10.1111/gcb.13506</v>
      </c>
    </row>
    <row r="545" spans="1:5" x14ac:dyDescent="0.3">
      <c r="A545" s="3">
        <v>544</v>
      </c>
      <c r="B545" s="4" t="s">
        <v>1282</v>
      </c>
      <c r="C545" s="4" t="s">
        <v>1283</v>
      </c>
      <c r="D545" s="4" t="s">
        <v>914</v>
      </c>
      <c r="E545" s="4" t="str">
        <f>HYPERLINK("http://dx.doi.org/10.1016/j.ijdrr.2024.104963","http://dx.doi.org/10.1016/j.ijdrr.2024.104963")</f>
        <v>http://dx.doi.org/10.1016/j.ijdrr.2024.104963</v>
      </c>
    </row>
    <row r="546" spans="1:5" x14ac:dyDescent="0.3">
      <c r="A546" s="3">
        <v>545</v>
      </c>
      <c r="B546" s="4" t="s">
        <v>1284</v>
      </c>
      <c r="C546" s="4" t="s">
        <v>1285</v>
      </c>
      <c r="D546" s="4" t="s">
        <v>1286</v>
      </c>
      <c r="E546" s="4" t="str">
        <f>HYPERLINK("http://dx.doi.org/10.13031/trans.13773","http://dx.doi.org/10.13031/trans.13773")</f>
        <v>http://dx.doi.org/10.13031/trans.13773</v>
      </c>
    </row>
    <row r="547" spans="1:5" x14ac:dyDescent="0.3">
      <c r="A547" s="3">
        <v>546</v>
      </c>
      <c r="B547" s="4" t="s">
        <v>1287</v>
      </c>
      <c r="C547" s="4" t="s">
        <v>1288</v>
      </c>
      <c r="D547" s="4" t="s">
        <v>141</v>
      </c>
      <c r="E547" s="4" t="str">
        <f>HYPERLINK("http://dx.doi.org/10.1016/j.envdev.2021.100618","http://dx.doi.org/10.1016/j.envdev.2021.100618")</f>
        <v>http://dx.doi.org/10.1016/j.envdev.2021.100618</v>
      </c>
    </row>
    <row r="548" spans="1:5" x14ac:dyDescent="0.3">
      <c r="A548" s="3">
        <v>547</v>
      </c>
      <c r="B548" s="4" t="s">
        <v>1289</v>
      </c>
      <c r="C548" s="4" t="s">
        <v>1290</v>
      </c>
      <c r="D548" s="4" t="s">
        <v>1035</v>
      </c>
      <c r="E548" s="4" t="str">
        <f>HYPERLINK("http://dx.doi.org/10.1080/00049182.2014.930003","http://dx.doi.org/10.1080/00049182.2014.930003")</f>
        <v>http://dx.doi.org/10.1080/00049182.2014.930003</v>
      </c>
    </row>
    <row r="549" spans="1:5" x14ac:dyDescent="0.3">
      <c r="A549" s="3">
        <v>548</v>
      </c>
      <c r="B549" s="4" t="s">
        <v>1291</v>
      </c>
      <c r="C549" s="4" t="s">
        <v>1292</v>
      </c>
      <c r="D549" s="4" t="s">
        <v>61</v>
      </c>
      <c r="E549" s="4" t="str">
        <f>HYPERLINK("http://dx.doi.org/10.3763/cdev.2010.0060","http://dx.doi.org/10.3763/cdev.2010.0060")</f>
        <v>http://dx.doi.org/10.3763/cdev.2010.0060</v>
      </c>
    </row>
    <row r="550" spans="1:5" x14ac:dyDescent="0.3">
      <c r="A550" s="3">
        <v>549</v>
      </c>
      <c r="B550" s="4" t="s">
        <v>1293</v>
      </c>
      <c r="C550" s="4" t="s">
        <v>1294</v>
      </c>
      <c r="D550" s="4" t="s">
        <v>144</v>
      </c>
      <c r="E550" s="4" t="str">
        <f>HYPERLINK("http://dx.doi.org/10.1162/glep_a_00642","http://dx.doi.org/10.1162/glep_a_00642")</f>
        <v>http://dx.doi.org/10.1162/glep_a_00642</v>
      </c>
    </row>
    <row r="551" spans="1:5" x14ac:dyDescent="0.3">
      <c r="A551" s="3">
        <v>550</v>
      </c>
      <c r="B551" s="4" t="s">
        <v>1295</v>
      </c>
      <c r="C551" s="4" t="s">
        <v>1296</v>
      </c>
      <c r="D551" s="4" t="s">
        <v>207</v>
      </c>
      <c r="E551" s="4" t="str">
        <f>HYPERLINK("http://dx.doi.org/10.1007/s10113-019-01530-7","http://dx.doi.org/10.1007/s10113-019-01530-7")</f>
        <v>http://dx.doi.org/10.1007/s10113-019-01530-7</v>
      </c>
    </row>
    <row r="552" spans="1:5" x14ac:dyDescent="0.3">
      <c r="A552" s="3">
        <v>551</v>
      </c>
      <c r="B552" s="4" t="s">
        <v>1297</v>
      </c>
      <c r="C552" s="4" t="s">
        <v>1298</v>
      </c>
      <c r="D552" s="4" t="s">
        <v>1299</v>
      </c>
      <c r="E552" s="4" t="str">
        <f>HYPERLINK("http://dx.doi.org/10.1111/ropr.12520","http://dx.doi.org/10.1111/ropr.12520")</f>
        <v>http://dx.doi.org/10.1111/ropr.12520</v>
      </c>
    </row>
    <row r="553" spans="1:5" x14ac:dyDescent="0.3">
      <c r="A553" s="3">
        <v>552</v>
      </c>
      <c r="B553" s="4" t="s">
        <v>426</v>
      </c>
      <c r="C553" s="4" t="s">
        <v>1300</v>
      </c>
      <c r="D553" s="4" t="s">
        <v>1301</v>
      </c>
      <c r="E553" s="4" t="str">
        <f>HYPERLINK("http://dx.doi.org/10.3389/feart.2023.1124166","http://dx.doi.org/10.3389/feart.2023.1124166")</f>
        <v>http://dx.doi.org/10.3389/feart.2023.1124166</v>
      </c>
    </row>
    <row r="554" spans="1:5" x14ac:dyDescent="0.3">
      <c r="A554" s="3">
        <v>553</v>
      </c>
      <c r="B554" s="4" t="s">
        <v>1302</v>
      </c>
      <c r="C554" s="4" t="s">
        <v>1303</v>
      </c>
      <c r="D554" s="4" t="s">
        <v>1304</v>
      </c>
      <c r="E554" s="4" t="str">
        <f>HYPERLINK("http://dx.doi.org/10.1002/app5.254","http://dx.doi.org/10.1002/app5.254")</f>
        <v>http://dx.doi.org/10.1002/app5.254</v>
      </c>
    </row>
    <row r="555" spans="1:5" x14ac:dyDescent="0.3">
      <c r="A555" s="3">
        <v>554</v>
      </c>
      <c r="B555" s="4" t="s">
        <v>1305</v>
      </c>
      <c r="C555" s="4" t="s">
        <v>1306</v>
      </c>
      <c r="D555" s="4" t="s">
        <v>67</v>
      </c>
      <c r="E555" s="4" t="str">
        <f>HYPERLINK("http://dx.doi.org/10.1016/j.worlddev.2020.105196","http://dx.doi.org/10.1016/j.worlddev.2020.105196")</f>
        <v>http://dx.doi.org/10.1016/j.worlddev.2020.105196</v>
      </c>
    </row>
    <row r="556" spans="1:5" x14ac:dyDescent="0.3">
      <c r="A556" s="3">
        <v>555</v>
      </c>
      <c r="B556" s="4" t="s">
        <v>1307</v>
      </c>
      <c r="C556" s="4" t="s">
        <v>1308</v>
      </c>
      <c r="D556" s="4" t="s">
        <v>20</v>
      </c>
      <c r="E556" s="4" t="str">
        <f>HYPERLINK("http://dx.doi.org/10.1088/1748-9326/acd654","http://dx.doi.org/10.1088/1748-9326/acd654")</f>
        <v>http://dx.doi.org/10.1088/1748-9326/acd654</v>
      </c>
    </row>
    <row r="557" spans="1:5" x14ac:dyDescent="0.3">
      <c r="A557" s="3">
        <v>556</v>
      </c>
      <c r="B557" s="4" t="s">
        <v>1309</v>
      </c>
      <c r="C557" s="4" t="s">
        <v>1310</v>
      </c>
      <c r="D557" s="4" t="s">
        <v>40</v>
      </c>
      <c r="E557" s="4" t="str">
        <f>HYPERLINK("http://dx.doi.org/10.3390/su12176998","http://dx.doi.org/10.3390/su12176998")</f>
        <v>http://dx.doi.org/10.3390/su12176998</v>
      </c>
    </row>
    <row r="558" spans="1:5" x14ac:dyDescent="0.3">
      <c r="A558" s="3">
        <v>557</v>
      </c>
      <c r="B558" s="4" t="s">
        <v>1311</v>
      </c>
      <c r="C558" s="4" t="s">
        <v>1312</v>
      </c>
      <c r="D558" s="4" t="s">
        <v>694</v>
      </c>
      <c r="E558" s="4" t="str">
        <f>HYPERLINK("http://dx.doi.org/10.3389/fenvs.2023.1265332","http://dx.doi.org/10.3389/fenvs.2023.1265332")</f>
        <v>http://dx.doi.org/10.3389/fenvs.2023.1265332</v>
      </c>
    </row>
    <row r="559" spans="1:5" x14ac:dyDescent="0.3">
      <c r="A559" s="3">
        <v>558</v>
      </c>
      <c r="B559" s="4" t="s">
        <v>1313</v>
      </c>
      <c r="C559" s="4" t="s">
        <v>1314</v>
      </c>
      <c r="D559" s="4" t="s">
        <v>40</v>
      </c>
      <c r="E559" s="4" t="str">
        <f>HYPERLINK("http://dx.doi.org/10.3390/su14127061","http://dx.doi.org/10.3390/su14127061")</f>
        <v>http://dx.doi.org/10.3390/su14127061</v>
      </c>
    </row>
    <row r="560" spans="1:5" x14ac:dyDescent="0.3">
      <c r="A560" s="3">
        <v>559</v>
      </c>
      <c r="B560" s="4" t="s">
        <v>1315</v>
      </c>
      <c r="C560" s="4" t="s">
        <v>1316</v>
      </c>
      <c r="D560" s="4" t="s">
        <v>914</v>
      </c>
      <c r="E560" s="4" t="str">
        <f>HYPERLINK("http://dx.doi.org/10.1016/j.ijdrr.2021.102637","http://dx.doi.org/10.1016/j.ijdrr.2021.102637")</f>
        <v>http://dx.doi.org/10.1016/j.ijdrr.2021.102637</v>
      </c>
    </row>
    <row r="561" spans="1:5" x14ac:dyDescent="0.3">
      <c r="A561" s="3">
        <v>560</v>
      </c>
      <c r="B561" s="4" t="s">
        <v>1317</v>
      </c>
      <c r="C561" s="4" t="s">
        <v>1318</v>
      </c>
      <c r="D561" s="4" t="s">
        <v>98</v>
      </c>
      <c r="E561" s="4" t="str">
        <f>HYPERLINK("http://dx.doi.org/10.1016/j.landusepol.2020.104469","http://dx.doi.org/10.1016/j.landusepol.2020.104469")</f>
        <v>http://dx.doi.org/10.1016/j.landusepol.2020.104469</v>
      </c>
    </row>
    <row r="562" spans="1:5" x14ac:dyDescent="0.3">
      <c r="A562" s="3">
        <v>561</v>
      </c>
      <c r="B562" s="4" t="s">
        <v>1319</v>
      </c>
      <c r="C562" s="4" t="s">
        <v>1320</v>
      </c>
      <c r="D562" s="4" t="s">
        <v>29</v>
      </c>
      <c r="E562" s="4" t="str">
        <f>HYPERLINK("http://dx.doi.org/10.1016/j.envsci.2024.103752","http://dx.doi.org/10.1016/j.envsci.2024.103752")</f>
        <v>http://dx.doi.org/10.1016/j.envsci.2024.103752</v>
      </c>
    </row>
    <row r="563" spans="1:5" x14ac:dyDescent="0.3">
      <c r="A563" s="3">
        <v>562</v>
      </c>
      <c r="B563" s="4" t="s">
        <v>1321</v>
      </c>
      <c r="C563" s="4" t="s">
        <v>1322</v>
      </c>
      <c r="D563" s="4" t="s">
        <v>67</v>
      </c>
      <c r="E563" s="4" t="str">
        <f>HYPERLINK("http://dx.doi.org/10.1016/j.worlddev.2016.12.004","http://dx.doi.org/10.1016/j.worlddev.2016.12.004")</f>
        <v>http://dx.doi.org/10.1016/j.worlddev.2016.12.004</v>
      </c>
    </row>
    <row r="564" spans="1:5" x14ac:dyDescent="0.3">
      <c r="A564" s="3">
        <v>563</v>
      </c>
      <c r="B564" s="4" t="s">
        <v>1323</v>
      </c>
      <c r="C564" s="4" t="s">
        <v>1324</v>
      </c>
      <c r="D564" s="4" t="s">
        <v>1325</v>
      </c>
      <c r="E564" s="4" t="str">
        <f>HYPERLINK("http://dx.doi.org/10.1051/cagri/2019032","http://dx.doi.org/10.1051/cagri/2019032")</f>
        <v>http://dx.doi.org/10.1051/cagri/2019032</v>
      </c>
    </row>
    <row r="565" spans="1:5" x14ac:dyDescent="0.3">
      <c r="A565" s="3">
        <v>564</v>
      </c>
      <c r="B565" s="4" t="s">
        <v>1326</v>
      </c>
      <c r="C565" s="4" t="s">
        <v>1327</v>
      </c>
      <c r="D565" s="4" t="s">
        <v>1328</v>
      </c>
      <c r="E565" s="4" t="str">
        <f>HYPERLINK("http://dx.doi.org/10.1073/pnas.2317158121","http://dx.doi.org/10.1073/pnas.2317158121")</f>
        <v>http://dx.doi.org/10.1073/pnas.2317158121</v>
      </c>
    </row>
    <row r="566" spans="1:5" x14ac:dyDescent="0.3">
      <c r="A566" s="3">
        <v>565</v>
      </c>
      <c r="B566" s="4" t="s">
        <v>1329</v>
      </c>
      <c r="C566" s="4" t="s">
        <v>1330</v>
      </c>
      <c r="D566" s="4" t="s">
        <v>116</v>
      </c>
      <c r="E566" s="4" t="str">
        <f>HYPERLINK("http://dx.doi.org/10.1002/wcc.924","http://dx.doi.org/10.1002/wcc.924")</f>
        <v>http://dx.doi.org/10.1002/wcc.924</v>
      </c>
    </row>
    <row r="567" spans="1:5" x14ac:dyDescent="0.3">
      <c r="A567" s="3">
        <v>566</v>
      </c>
      <c r="B567" s="4" t="s">
        <v>1331</v>
      </c>
      <c r="C567" s="4" t="s">
        <v>1332</v>
      </c>
      <c r="D567" s="4" t="s">
        <v>1333</v>
      </c>
      <c r="E567" s="4" t="str">
        <f>HYPERLINK("http://dx.doi.org/10.2166/wp.2013.221","http://dx.doi.org/10.2166/wp.2013.221")</f>
        <v>http://dx.doi.org/10.2166/wp.2013.221</v>
      </c>
    </row>
    <row r="568" spans="1:5" x14ac:dyDescent="0.3">
      <c r="A568" s="3">
        <v>567</v>
      </c>
      <c r="B568" s="4" t="s">
        <v>1334</v>
      </c>
      <c r="C568" s="4" t="s">
        <v>1335</v>
      </c>
      <c r="D568" s="4" t="s">
        <v>818</v>
      </c>
      <c r="E568" s="4" t="str">
        <f>HYPERLINK("http://dx.doi.org/10.3390/land11030364","http://dx.doi.org/10.3390/land11030364")</f>
        <v>http://dx.doi.org/10.3390/land11030364</v>
      </c>
    </row>
    <row r="569" spans="1:5" x14ac:dyDescent="0.3">
      <c r="A569" s="3">
        <v>568</v>
      </c>
      <c r="B569" s="4" t="s">
        <v>1336</v>
      </c>
      <c r="C569" s="4" t="s">
        <v>1337</v>
      </c>
      <c r="D569" s="4" t="s">
        <v>914</v>
      </c>
      <c r="E569" s="4" t="str">
        <f>HYPERLINK("http://dx.doi.org/10.1016/j.ijdrr.2023.104234","http://dx.doi.org/10.1016/j.ijdrr.2023.104234")</f>
        <v>http://dx.doi.org/10.1016/j.ijdrr.2023.104234</v>
      </c>
    </row>
    <row r="570" spans="1:5" x14ac:dyDescent="0.3">
      <c r="A570" s="3">
        <v>569</v>
      </c>
      <c r="B570" s="4" t="s">
        <v>1338</v>
      </c>
      <c r="C570" s="4" t="s">
        <v>1339</v>
      </c>
      <c r="D570" s="4" t="s">
        <v>1340</v>
      </c>
      <c r="E570" s="4" t="str">
        <f>HYPERLINK("http://dx.doi.org/10.1016/j.euroecorev.2021.104023","http://dx.doi.org/10.1016/j.euroecorev.2021.104023")</f>
        <v>http://dx.doi.org/10.1016/j.euroecorev.2021.104023</v>
      </c>
    </row>
    <row r="571" spans="1:5" x14ac:dyDescent="0.3">
      <c r="A571" s="3">
        <v>570</v>
      </c>
      <c r="B571" s="4" t="s">
        <v>1341</v>
      </c>
      <c r="C571" s="4" t="s">
        <v>1342</v>
      </c>
      <c r="D571" s="4" t="s">
        <v>418</v>
      </c>
      <c r="E571" s="4" t="str">
        <f>HYPERLINK("http://dx.doi.org/10.1016/j.trd.2021.103073","http://dx.doi.org/10.1016/j.trd.2021.103073")</f>
        <v>http://dx.doi.org/10.1016/j.trd.2021.103073</v>
      </c>
    </row>
    <row r="572" spans="1:5" x14ac:dyDescent="0.3">
      <c r="A572" s="3">
        <v>571</v>
      </c>
      <c r="B572" s="4" t="s">
        <v>1343</v>
      </c>
      <c r="C572" s="4" t="s">
        <v>1344</v>
      </c>
      <c r="D572" s="4" t="s">
        <v>439</v>
      </c>
      <c r="E572" s="4" t="str">
        <f>HYPERLINK("http://dx.doi.org/10.1186/s12992-023-00965-2","http://dx.doi.org/10.1186/s12992-023-00965-2")</f>
        <v>http://dx.doi.org/10.1186/s12992-023-00965-2</v>
      </c>
    </row>
    <row r="573" spans="1:5" x14ac:dyDescent="0.3">
      <c r="A573" s="3">
        <v>572</v>
      </c>
      <c r="B573" s="4" t="s">
        <v>1345</v>
      </c>
      <c r="C573" s="4" t="s">
        <v>1346</v>
      </c>
      <c r="D573" s="4" t="s">
        <v>1347</v>
      </c>
      <c r="E573" s="4" t="str">
        <f>HYPERLINK("http://dx.doi.org/10.1016/j.resconrec.2016.07.009","http://dx.doi.org/10.1016/j.resconrec.2016.07.009")</f>
        <v>http://dx.doi.org/10.1016/j.resconrec.2016.07.009</v>
      </c>
    </row>
    <row r="574" spans="1:5" x14ac:dyDescent="0.3">
      <c r="A574" s="3">
        <v>573</v>
      </c>
      <c r="B574" s="4" t="s">
        <v>1348</v>
      </c>
      <c r="C574" s="4" t="s">
        <v>1349</v>
      </c>
      <c r="D574" s="4" t="s">
        <v>241</v>
      </c>
      <c r="E574" s="4" t="str">
        <f>HYPERLINK("http://dx.doi.org/10.1016/j.ocecoaman.2022.106057","http://dx.doi.org/10.1016/j.ocecoaman.2022.106057")</f>
        <v>http://dx.doi.org/10.1016/j.ocecoaman.2022.106057</v>
      </c>
    </row>
    <row r="575" spans="1:5" x14ac:dyDescent="0.3">
      <c r="A575" s="3">
        <v>574</v>
      </c>
      <c r="B575" s="4" t="s">
        <v>1350</v>
      </c>
      <c r="C575" s="4" t="s">
        <v>1351</v>
      </c>
      <c r="D575" s="4" t="s">
        <v>207</v>
      </c>
      <c r="E575" s="4" t="str">
        <f>HYPERLINK("http://dx.doi.org/10.1007/s10113-024-02290-9","http://dx.doi.org/10.1007/s10113-024-02290-9")</f>
        <v>http://dx.doi.org/10.1007/s10113-024-02290-9</v>
      </c>
    </row>
    <row r="576" spans="1:5" x14ac:dyDescent="0.3">
      <c r="A576" s="3">
        <v>575</v>
      </c>
      <c r="B576" s="4" t="s">
        <v>1352</v>
      </c>
      <c r="C576" s="4" t="s">
        <v>1353</v>
      </c>
      <c r="D576" s="4" t="s">
        <v>249</v>
      </c>
      <c r="E576" s="4" t="str">
        <f>HYPERLINK("http://dx.doi.org/10.1088/2515-7620/ad9242","http://dx.doi.org/10.1088/2515-7620/ad9242")</f>
        <v>http://dx.doi.org/10.1088/2515-7620/ad9242</v>
      </c>
    </row>
    <row r="577" spans="1:5" x14ac:dyDescent="0.3">
      <c r="A577" s="3">
        <v>576</v>
      </c>
      <c r="B577" s="4" t="s">
        <v>1354</v>
      </c>
      <c r="C577" s="4" t="s">
        <v>1355</v>
      </c>
      <c r="D577" s="4" t="s">
        <v>1356</v>
      </c>
      <c r="E577" s="4" t="str">
        <f>HYPERLINK("http://dx.doi.org/10.1089/ees.2021.0103","http://dx.doi.org/10.1089/ees.2021.0103")</f>
        <v>http://dx.doi.org/10.1089/ees.2021.0103</v>
      </c>
    </row>
    <row r="578" spans="1:5" x14ac:dyDescent="0.3">
      <c r="A578" s="3">
        <v>577</v>
      </c>
      <c r="B578" s="4" t="s">
        <v>1357</v>
      </c>
      <c r="C578" s="4" t="s">
        <v>1358</v>
      </c>
      <c r="D578" s="4" t="s">
        <v>914</v>
      </c>
      <c r="E578" s="4" t="str">
        <f>HYPERLINK("http://dx.doi.org/10.1016/j.ijdrr.2024.104949","http://dx.doi.org/10.1016/j.ijdrr.2024.104949")</f>
        <v>http://dx.doi.org/10.1016/j.ijdrr.2024.104949</v>
      </c>
    </row>
    <row r="579" spans="1:5" x14ac:dyDescent="0.3">
      <c r="A579" s="3">
        <v>578</v>
      </c>
      <c r="B579" s="4" t="s">
        <v>1359</v>
      </c>
      <c r="C579" s="4" t="s">
        <v>1360</v>
      </c>
      <c r="D579" s="4" t="s">
        <v>1361</v>
      </c>
      <c r="E579" s="4" t="str">
        <f>HYPERLINK("http://dx.doi.org/10.1080/0966369X.2019.1620698","http://dx.doi.org/10.1080/0966369X.2019.1620698")</f>
        <v>http://dx.doi.org/10.1080/0966369X.2019.1620698</v>
      </c>
    </row>
    <row r="580" spans="1:5" x14ac:dyDescent="0.3">
      <c r="A580" s="3">
        <v>579</v>
      </c>
      <c r="B580" s="4" t="s">
        <v>1362</v>
      </c>
      <c r="C580" s="4" t="s">
        <v>1363</v>
      </c>
      <c r="D580" s="4" t="s">
        <v>46</v>
      </c>
      <c r="E580" s="4" t="str">
        <f>HYPERLINK("http://dx.doi.org/10.1007/s10584-013-0743-2","http://dx.doi.org/10.1007/s10584-013-0743-2")</f>
        <v>http://dx.doi.org/10.1007/s10584-013-0743-2</v>
      </c>
    </row>
    <row r="581" spans="1:5" x14ac:dyDescent="0.3">
      <c r="A581" s="3">
        <v>580</v>
      </c>
      <c r="B581" s="4" t="s">
        <v>1364</v>
      </c>
      <c r="C581" s="4" t="s">
        <v>1365</v>
      </c>
      <c r="D581" s="4" t="s">
        <v>138</v>
      </c>
      <c r="E581" s="4" t="str">
        <f>HYPERLINK("http://dx.doi.org/10.1016/j.scs.2022.103685","http://dx.doi.org/10.1016/j.scs.2022.103685")</f>
        <v>http://dx.doi.org/10.1016/j.scs.2022.103685</v>
      </c>
    </row>
    <row r="582" spans="1:5" x14ac:dyDescent="0.3">
      <c r="A582" s="3">
        <v>581</v>
      </c>
      <c r="B582" s="4" t="s">
        <v>1366</v>
      </c>
      <c r="C582" s="4" t="s">
        <v>1367</v>
      </c>
      <c r="D582" s="4" t="s">
        <v>501</v>
      </c>
      <c r="E582" s="4" t="str">
        <f>HYPERLINK("http://dx.doi.org/10.1080/09669582.2024.2391911","http://dx.doi.org/10.1080/09669582.2024.2391911")</f>
        <v>http://dx.doi.org/10.1080/09669582.2024.2391911</v>
      </c>
    </row>
    <row r="583" spans="1:5" x14ac:dyDescent="0.3">
      <c r="A583" s="3">
        <v>582</v>
      </c>
      <c r="B583" s="4" t="s">
        <v>1368</v>
      </c>
      <c r="C583" s="4" t="s">
        <v>1369</v>
      </c>
      <c r="D583" s="4" t="s">
        <v>482</v>
      </c>
      <c r="E583" s="4" t="str">
        <f>HYPERLINK("http://dx.doi.org/10.1007/s11027-009-9203-8","http://dx.doi.org/10.1007/s11027-009-9203-8")</f>
        <v>http://dx.doi.org/10.1007/s11027-009-9203-8</v>
      </c>
    </row>
    <row r="584" spans="1:5" x14ac:dyDescent="0.3">
      <c r="A584" s="3">
        <v>583</v>
      </c>
      <c r="B584" s="4" t="s">
        <v>1370</v>
      </c>
      <c r="C584" s="4" t="s">
        <v>1371</v>
      </c>
      <c r="D584" s="4" t="s">
        <v>1035</v>
      </c>
      <c r="E584" s="4" t="str">
        <f>HYPERLINK("http://dx.doi.org/10.1080/00049182.2021.1917327","http://dx.doi.org/10.1080/00049182.2021.1917327")</f>
        <v>http://dx.doi.org/10.1080/00049182.2021.1917327</v>
      </c>
    </row>
    <row r="585" spans="1:5" x14ac:dyDescent="0.3">
      <c r="A585" s="3">
        <v>584</v>
      </c>
      <c r="B585" s="4" t="s">
        <v>1372</v>
      </c>
      <c r="C585" s="4" t="s">
        <v>1373</v>
      </c>
      <c r="D585" s="4" t="s">
        <v>1374</v>
      </c>
      <c r="E585" s="4" t="str">
        <f>HYPERLINK("http://dx.doi.org/10.1080/12265934.2024.2438197","http://dx.doi.org/10.1080/12265934.2024.2438197")</f>
        <v>http://dx.doi.org/10.1080/12265934.2024.2438197</v>
      </c>
    </row>
    <row r="586" spans="1:5" x14ac:dyDescent="0.3">
      <c r="A586" s="3">
        <v>585</v>
      </c>
      <c r="B586" s="4" t="s">
        <v>1375</v>
      </c>
      <c r="C586" s="4" t="s">
        <v>1376</v>
      </c>
      <c r="D586" s="4" t="s">
        <v>389</v>
      </c>
      <c r="E586" s="4" t="str">
        <f>HYPERLINK("http://dx.doi.org/10.1016/j.jclepro.2020.125123","http://dx.doi.org/10.1016/j.jclepro.2020.125123")</f>
        <v>http://dx.doi.org/10.1016/j.jclepro.2020.125123</v>
      </c>
    </row>
    <row r="587" spans="1:5" x14ac:dyDescent="0.3">
      <c r="A587" s="3">
        <v>586</v>
      </c>
      <c r="B587" s="4" t="s">
        <v>1377</v>
      </c>
      <c r="C587" s="4" t="s">
        <v>1378</v>
      </c>
      <c r="D587" s="4" t="s">
        <v>698</v>
      </c>
      <c r="E587" s="4" t="str">
        <f>HYPERLINK("http://dx.doi.org/10.1108/DPM-11-2023-0303","http://dx.doi.org/10.1108/DPM-11-2023-0303")</f>
        <v>http://dx.doi.org/10.1108/DPM-11-2023-0303</v>
      </c>
    </row>
    <row r="588" spans="1:5" x14ac:dyDescent="0.3">
      <c r="A588" s="3">
        <v>587</v>
      </c>
      <c r="B588" s="4" t="s">
        <v>1379</v>
      </c>
      <c r="C588" s="4" t="s">
        <v>1380</v>
      </c>
      <c r="D588" s="4" t="s">
        <v>61</v>
      </c>
      <c r="E588" s="4" t="str">
        <f>HYPERLINK("http://dx.doi.org/10.1080/17565529.2017.1410084","http://dx.doi.org/10.1080/17565529.2017.1410084")</f>
        <v>http://dx.doi.org/10.1080/17565529.2017.1410084</v>
      </c>
    </row>
    <row r="589" spans="1:5" x14ac:dyDescent="0.3">
      <c r="A589" s="3">
        <v>588</v>
      </c>
      <c r="B589" s="4" t="s">
        <v>1381</v>
      </c>
      <c r="C589" s="4" t="s">
        <v>1382</v>
      </c>
      <c r="D589" s="4" t="s">
        <v>706</v>
      </c>
      <c r="E589" s="4" t="str">
        <f>HYPERLINK("http://dx.doi.org/10.3390/f11121246","http://dx.doi.org/10.3390/f11121246")</f>
        <v>http://dx.doi.org/10.3390/f11121246</v>
      </c>
    </row>
    <row r="590" spans="1:5" x14ac:dyDescent="0.3">
      <c r="A590" s="3">
        <v>589</v>
      </c>
      <c r="B590" s="4" t="s">
        <v>1383</v>
      </c>
      <c r="C590" s="4" t="s">
        <v>1384</v>
      </c>
      <c r="D590" s="4" t="s">
        <v>1385</v>
      </c>
      <c r="E590" s="4" t="str">
        <f>HYPERLINK("http://dx.doi.org/10.1093/heapol/czae044","http://dx.doi.org/10.1093/heapol/czae044")</f>
        <v>http://dx.doi.org/10.1093/heapol/czae044</v>
      </c>
    </row>
    <row r="591" spans="1:5" x14ac:dyDescent="0.3">
      <c r="A591" s="3">
        <v>590</v>
      </c>
      <c r="B591" s="4" t="s">
        <v>1386</v>
      </c>
      <c r="C591" s="4" t="s">
        <v>1387</v>
      </c>
      <c r="D591" s="4" t="s">
        <v>116</v>
      </c>
      <c r="E591" s="4" t="str">
        <f>HYPERLINK("http://dx.doi.org/10.1002/wcc.376","http://dx.doi.org/10.1002/wcc.376")</f>
        <v>http://dx.doi.org/10.1002/wcc.376</v>
      </c>
    </row>
    <row r="592" spans="1:5" x14ac:dyDescent="0.3">
      <c r="A592" s="3">
        <v>591</v>
      </c>
      <c r="B592" s="4" t="s">
        <v>1388</v>
      </c>
      <c r="C592" s="4" t="s">
        <v>1389</v>
      </c>
      <c r="D592" s="4" t="s">
        <v>1390</v>
      </c>
      <c r="E592" s="4" t="str">
        <f>HYPERLINK("http://dx.doi.org/10.3390/jmse12020344","http://dx.doi.org/10.3390/jmse12020344")</f>
        <v>http://dx.doi.org/10.3390/jmse12020344</v>
      </c>
    </row>
    <row r="593" spans="1:5" x14ac:dyDescent="0.3">
      <c r="A593" s="3">
        <v>592</v>
      </c>
      <c r="B593" s="4" t="s">
        <v>1391</v>
      </c>
      <c r="C593" s="4" t="s">
        <v>1392</v>
      </c>
      <c r="D593" s="4" t="s">
        <v>482</v>
      </c>
      <c r="E593" s="4" t="str">
        <f>HYPERLINK("http://dx.doi.org/10.1007/s11027-012-9447-6","http://dx.doi.org/10.1007/s11027-012-9447-6")</f>
        <v>http://dx.doi.org/10.1007/s11027-012-9447-6</v>
      </c>
    </row>
    <row r="594" spans="1:5" x14ac:dyDescent="0.3">
      <c r="A594" s="3">
        <v>593</v>
      </c>
      <c r="B594" s="4" t="s">
        <v>1393</v>
      </c>
      <c r="C594" s="4" t="s">
        <v>1394</v>
      </c>
      <c r="D594" s="4" t="s">
        <v>273</v>
      </c>
      <c r="E594" s="4" t="str">
        <f>HYPERLINK("http://dx.doi.org/10.1098/rstb.2019.0120","http://dx.doi.org/10.1098/rstb.2019.0120")</f>
        <v>http://dx.doi.org/10.1098/rstb.2019.0120</v>
      </c>
    </row>
    <row r="595" spans="1:5" x14ac:dyDescent="0.3">
      <c r="A595" s="3">
        <v>594</v>
      </c>
      <c r="B595" s="4" t="s">
        <v>1395</v>
      </c>
      <c r="C595" s="4" t="s">
        <v>1396</v>
      </c>
      <c r="D595" s="4" t="s">
        <v>138</v>
      </c>
      <c r="E595" s="4" t="str">
        <f>HYPERLINK("http://dx.doi.org/10.1016/j.scs.2024.105287","http://dx.doi.org/10.1016/j.scs.2024.105287")</f>
        <v>http://dx.doi.org/10.1016/j.scs.2024.105287</v>
      </c>
    </row>
    <row r="596" spans="1:5" x14ac:dyDescent="0.3">
      <c r="A596" s="3">
        <v>595</v>
      </c>
      <c r="B596" s="4" t="s">
        <v>1397</v>
      </c>
      <c r="C596" s="4" t="s">
        <v>1398</v>
      </c>
      <c r="D596" s="4" t="s">
        <v>285</v>
      </c>
      <c r="E596" s="4" t="str">
        <f>HYPERLINK("http://dx.doi.org/10.1016/j.crm.2021.100352","http://dx.doi.org/10.1016/j.crm.2021.100352")</f>
        <v>http://dx.doi.org/10.1016/j.crm.2021.100352</v>
      </c>
    </row>
    <row r="597" spans="1:5" x14ac:dyDescent="0.3">
      <c r="A597" s="3">
        <v>596</v>
      </c>
      <c r="B597" s="4" t="s">
        <v>1399</v>
      </c>
      <c r="C597" s="4" t="s">
        <v>1400</v>
      </c>
      <c r="D597" s="4" t="s">
        <v>1401</v>
      </c>
      <c r="E597" s="4" t="str">
        <f>HYPERLINK("http://dx.doi.org/10.3390/rs13244985","http://dx.doi.org/10.3390/rs13244985")</f>
        <v>http://dx.doi.org/10.3390/rs13244985</v>
      </c>
    </row>
    <row r="598" spans="1:5" x14ac:dyDescent="0.3">
      <c r="A598" s="3">
        <v>597</v>
      </c>
      <c r="B598" s="4" t="s">
        <v>1402</v>
      </c>
      <c r="C598" s="4" t="s">
        <v>1403</v>
      </c>
      <c r="D598" s="4" t="s">
        <v>207</v>
      </c>
      <c r="E598" s="4" t="str">
        <f>HYPERLINK("http://dx.doi.org/10.1007/s10113-016-1046-8","http://dx.doi.org/10.1007/s10113-016-1046-8")</f>
        <v>http://dx.doi.org/10.1007/s10113-016-1046-8</v>
      </c>
    </row>
    <row r="599" spans="1:5" x14ac:dyDescent="0.3">
      <c r="A599" s="3">
        <v>598</v>
      </c>
      <c r="B599" s="4" t="s">
        <v>1404</v>
      </c>
      <c r="C599" s="4" t="s">
        <v>1405</v>
      </c>
      <c r="D599" s="4" t="s">
        <v>914</v>
      </c>
      <c r="E599" s="4" t="str">
        <f>HYPERLINK("http://dx.doi.org/10.1016/j.ijdrr.2019.101249","http://dx.doi.org/10.1016/j.ijdrr.2019.101249")</f>
        <v>http://dx.doi.org/10.1016/j.ijdrr.2019.101249</v>
      </c>
    </row>
    <row r="600" spans="1:5" x14ac:dyDescent="0.3">
      <c r="A600" s="3">
        <v>599</v>
      </c>
      <c r="B600" s="4" t="s">
        <v>1406</v>
      </c>
      <c r="C600" s="4" t="s">
        <v>1407</v>
      </c>
      <c r="D600" s="4" t="s">
        <v>335</v>
      </c>
      <c r="E600" s="4" t="str">
        <f>HYPERLINK("http://dx.doi.org/10.1007/s11069-016-2151-1","http://dx.doi.org/10.1007/s11069-016-2151-1")</f>
        <v>http://dx.doi.org/10.1007/s11069-016-2151-1</v>
      </c>
    </row>
    <row r="601" spans="1:5" x14ac:dyDescent="0.3">
      <c r="A601" s="3">
        <v>600</v>
      </c>
      <c r="B601" s="4" t="s">
        <v>1408</v>
      </c>
      <c r="C601" s="4" t="s">
        <v>1409</v>
      </c>
      <c r="D601" s="4" t="s">
        <v>760</v>
      </c>
      <c r="E601" s="4" t="str">
        <f>HYPERLINK("http://dx.doi.org/10.1016/j.ecolind.2024.112826","http://dx.doi.org/10.1016/j.ecolind.2024.112826")</f>
        <v>http://dx.doi.org/10.1016/j.ecolind.2024.112826</v>
      </c>
    </row>
    <row r="602" spans="1:5" x14ac:dyDescent="0.3">
      <c r="A602" s="3">
        <v>601</v>
      </c>
      <c r="B602" s="4" t="s">
        <v>1410</v>
      </c>
      <c r="C602" s="4" t="s">
        <v>1411</v>
      </c>
      <c r="D602" s="4" t="s">
        <v>1412</v>
      </c>
      <c r="E602" s="4" t="str">
        <f>HYPERLINK("http://dx.doi.org/10.2166/wcc.2024.415","http://dx.doi.org/10.2166/wcc.2024.415")</f>
        <v>http://dx.doi.org/10.2166/wcc.2024.415</v>
      </c>
    </row>
    <row r="603" spans="1:5" x14ac:dyDescent="0.3">
      <c r="A603" s="3">
        <v>602</v>
      </c>
      <c r="B603" s="4" t="s">
        <v>1413</v>
      </c>
      <c r="C603" s="4" t="s">
        <v>1414</v>
      </c>
      <c r="D603" s="4" t="s">
        <v>1197</v>
      </c>
      <c r="E603" s="4" t="str">
        <f>HYPERLINK("http://dx.doi.org/10.1016/j.scitotenv.2024.171120","http://dx.doi.org/10.1016/j.scitotenv.2024.171120")</f>
        <v>http://dx.doi.org/10.1016/j.scitotenv.2024.171120</v>
      </c>
    </row>
    <row r="604" spans="1:5" x14ac:dyDescent="0.3">
      <c r="A604" s="3">
        <v>603</v>
      </c>
      <c r="B604" s="4" t="s">
        <v>1415</v>
      </c>
      <c r="C604" s="4" t="s">
        <v>1416</v>
      </c>
      <c r="D604" s="4" t="s">
        <v>1417</v>
      </c>
      <c r="E604" s="4" t="str">
        <f>HYPERLINK("http://dx.doi.org/10.1177/2053019620915633","http://dx.doi.org/10.1177/2053019620915633")</f>
        <v>http://dx.doi.org/10.1177/2053019620915633</v>
      </c>
    </row>
    <row r="605" spans="1:5" x14ac:dyDescent="0.3">
      <c r="A605" s="3">
        <v>604</v>
      </c>
      <c r="B605" s="4" t="s">
        <v>1418</v>
      </c>
      <c r="C605" s="4" t="s">
        <v>1419</v>
      </c>
      <c r="D605" s="4" t="s">
        <v>273</v>
      </c>
      <c r="E605" s="4" t="str">
        <f>HYPERLINK("http://dx.doi.org/10.1098/rstb.2019.0124","http://dx.doi.org/10.1098/rstb.2019.0124")</f>
        <v>http://dx.doi.org/10.1098/rstb.2019.0124</v>
      </c>
    </row>
    <row r="606" spans="1:5" x14ac:dyDescent="0.3">
      <c r="A606" s="3">
        <v>605</v>
      </c>
      <c r="B606" s="4" t="s">
        <v>1420</v>
      </c>
      <c r="C606" s="4" t="s">
        <v>1421</v>
      </c>
      <c r="D606" s="4" t="s">
        <v>46</v>
      </c>
      <c r="E606" s="4" t="str">
        <f>HYPERLINK("http://dx.doi.org/10.1007/s10584-020-02920-1","http://dx.doi.org/10.1007/s10584-020-02920-1")</f>
        <v>http://dx.doi.org/10.1007/s10584-020-02920-1</v>
      </c>
    </row>
    <row r="607" spans="1:5" x14ac:dyDescent="0.3">
      <c r="A607" s="3">
        <v>606</v>
      </c>
      <c r="B607" s="4" t="s">
        <v>1422</v>
      </c>
      <c r="C607" s="4" t="s">
        <v>1423</v>
      </c>
      <c r="D607" s="4" t="s">
        <v>34</v>
      </c>
      <c r="E607" s="4" t="str">
        <f>HYPERLINK("http://dx.doi.org/10.1016/j.landurbplan.2019.103703","http://dx.doi.org/10.1016/j.landurbplan.2019.103703")</f>
        <v>http://dx.doi.org/10.1016/j.landurbplan.2019.103703</v>
      </c>
    </row>
    <row r="608" spans="1:5" x14ac:dyDescent="0.3">
      <c r="A608" s="3">
        <v>607</v>
      </c>
      <c r="B608" s="4" t="s">
        <v>1424</v>
      </c>
      <c r="C608" s="4" t="s">
        <v>1425</v>
      </c>
      <c r="D608" s="4" t="s">
        <v>265</v>
      </c>
      <c r="E608" s="4" t="str">
        <f>HYPERLINK("http://dx.doi.org/10.1016/j.geoforum.2020.02.022","http://dx.doi.org/10.1016/j.geoforum.2020.02.022")</f>
        <v>http://dx.doi.org/10.1016/j.geoforum.2020.02.022</v>
      </c>
    </row>
    <row r="609" spans="1:5" x14ac:dyDescent="0.3">
      <c r="A609" s="3">
        <v>608</v>
      </c>
      <c r="B609" s="4" t="s">
        <v>1426</v>
      </c>
      <c r="C609" s="4" t="s">
        <v>1427</v>
      </c>
      <c r="D609" s="4" t="s">
        <v>389</v>
      </c>
      <c r="E609" s="4" t="str">
        <f>HYPERLINK("http://dx.doi.org/10.1016/j.jclepro.2020.123393","http://dx.doi.org/10.1016/j.jclepro.2020.123393")</f>
        <v>http://dx.doi.org/10.1016/j.jclepro.2020.123393</v>
      </c>
    </row>
    <row r="610" spans="1:5" x14ac:dyDescent="0.3">
      <c r="A610" s="3">
        <v>609</v>
      </c>
      <c r="B610" s="4" t="s">
        <v>1428</v>
      </c>
      <c r="C610" s="4" t="s">
        <v>1429</v>
      </c>
      <c r="D610" s="4" t="s">
        <v>40</v>
      </c>
      <c r="E610" s="4" t="str">
        <f>HYPERLINK("http://dx.doi.org/10.3390/su10082934","http://dx.doi.org/10.3390/su10082934")</f>
        <v>http://dx.doi.org/10.3390/su10082934</v>
      </c>
    </row>
    <row r="611" spans="1:5" x14ac:dyDescent="0.3">
      <c r="A611" s="3">
        <v>610</v>
      </c>
      <c r="B611" s="4" t="s">
        <v>1430</v>
      </c>
      <c r="C611" s="4" t="s">
        <v>1431</v>
      </c>
      <c r="D611" s="4" t="s">
        <v>1432</v>
      </c>
      <c r="E611" s="4" t="str">
        <f>HYPERLINK("http://dx.doi.org/10.1016/j.polgeo.2024.103258","http://dx.doi.org/10.1016/j.polgeo.2024.103258")</f>
        <v>http://dx.doi.org/10.1016/j.polgeo.2024.103258</v>
      </c>
    </row>
    <row r="612" spans="1:5" x14ac:dyDescent="0.3">
      <c r="A612" s="3">
        <v>611</v>
      </c>
      <c r="B612" s="4" t="s">
        <v>1433</v>
      </c>
      <c r="C612" s="4" t="s">
        <v>1434</v>
      </c>
      <c r="D612" s="4" t="s">
        <v>1432</v>
      </c>
      <c r="E612" s="4" t="str">
        <f>HYPERLINK("http://dx.doi.org/10.1016/j.polgeo.2022.102740","http://dx.doi.org/10.1016/j.polgeo.2022.102740")</f>
        <v>http://dx.doi.org/10.1016/j.polgeo.2022.102740</v>
      </c>
    </row>
    <row r="613" spans="1:5" x14ac:dyDescent="0.3">
      <c r="A613" s="3">
        <v>612</v>
      </c>
      <c r="B613" s="4" t="s">
        <v>1435</v>
      </c>
      <c r="C613" s="4" t="s">
        <v>1436</v>
      </c>
      <c r="D613" s="4" t="s">
        <v>1437</v>
      </c>
      <c r="E613" s="4" t="str">
        <f>HYPERLINK("http://dx.doi.org/10.1080/09654313.2011.638496","http://dx.doi.org/10.1080/09654313.2011.638496")</f>
        <v>http://dx.doi.org/10.1080/09654313.2011.638496</v>
      </c>
    </row>
    <row r="614" spans="1:5" x14ac:dyDescent="0.3">
      <c r="A614" s="3">
        <v>613</v>
      </c>
      <c r="B614" s="4" t="s">
        <v>1438</v>
      </c>
      <c r="C614" s="4" t="s">
        <v>1439</v>
      </c>
      <c r="D614" s="4" t="s">
        <v>914</v>
      </c>
      <c r="E614" s="4" t="str">
        <f>HYPERLINK("http://dx.doi.org/10.1016/j.ijdrr.2024.105016","http://dx.doi.org/10.1016/j.ijdrr.2024.105016")</f>
        <v>http://dx.doi.org/10.1016/j.ijdrr.2024.105016</v>
      </c>
    </row>
    <row r="615" spans="1:5" x14ac:dyDescent="0.3">
      <c r="A615" s="3">
        <v>614</v>
      </c>
      <c r="B615" s="4" t="s">
        <v>1440</v>
      </c>
      <c r="C615" s="4" t="s">
        <v>1441</v>
      </c>
      <c r="D615" s="4" t="s">
        <v>29</v>
      </c>
      <c r="E615" s="4" t="str">
        <f>HYPERLINK("http://dx.doi.org/10.1016/j.envsci.2023.06.021","http://dx.doi.org/10.1016/j.envsci.2023.06.021")</f>
        <v>http://dx.doi.org/10.1016/j.envsci.2023.06.021</v>
      </c>
    </row>
    <row r="616" spans="1:5" x14ac:dyDescent="0.3">
      <c r="A616" s="3">
        <v>615</v>
      </c>
      <c r="B616" s="4" t="s">
        <v>1442</v>
      </c>
      <c r="C616" s="4" t="s">
        <v>1443</v>
      </c>
      <c r="D616" s="4" t="s">
        <v>222</v>
      </c>
      <c r="E616" s="4" t="str">
        <f>HYPERLINK("http://dx.doi.org/10.1890/11-1514.1","http://dx.doi.org/10.1890/11-1514.1")</f>
        <v>http://dx.doi.org/10.1890/11-1514.1</v>
      </c>
    </row>
    <row r="617" spans="1:5" x14ac:dyDescent="0.3">
      <c r="A617" s="3">
        <v>616</v>
      </c>
      <c r="B617" s="4" t="s">
        <v>1444</v>
      </c>
      <c r="C617" s="4" t="s">
        <v>1445</v>
      </c>
      <c r="D617" s="4" t="s">
        <v>98</v>
      </c>
      <c r="E617" s="4" t="str">
        <f>HYPERLINK("http://dx.doi.org/10.1016/j.landusepol.2020.104553","http://dx.doi.org/10.1016/j.landusepol.2020.104553")</f>
        <v>http://dx.doi.org/10.1016/j.landusepol.2020.104553</v>
      </c>
    </row>
    <row r="618" spans="1:5" x14ac:dyDescent="0.3">
      <c r="A618" s="3">
        <v>617</v>
      </c>
      <c r="B618" s="4" t="s">
        <v>1446</v>
      </c>
      <c r="C618" s="4" t="s">
        <v>1447</v>
      </c>
      <c r="D618" s="4" t="s">
        <v>1448</v>
      </c>
      <c r="E618" s="4" t="str">
        <f>HYPERLINK("http://dx.doi.org/10.1002/ieam.4422","http://dx.doi.org/10.1002/ieam.4422")</f>
        <v>http://dx.doi.org/10.1002/ieam.4422</v>
      </c>
    </row>
    <row r="619" spans="1:5" x14ac:dyDescent="0.3">
      <c r="A619" s="3">
        <v>618</v>
      </c>
      <c r="B619" s="4" t="s">
        <v>1449</v>
      </c>
      <c r="C619" s="4" t="s">
        <v>1450</v>
      </c>
      <c r="D619" s="4" t="s">
        <v>1451</v>
      </c>
      <c r="E619" s="4" t="str">
        <f>HYPERLINK("http://dx.doi.org/10.1002/csr.2747","http://dx.doi.org/10.1002/csr.2747")</f>
        <v>http://dx.doi.org/10.1002/csr.2747</v>
      </c>
    </row>
    <row r="620" spans="1:5" x14ac:dyDescent="0.3">
      <c r="A620" s="3">
        <v>619</v>
      </c>
      <c r="B620" s="4" t="s">
        <v>1452</v>
      </c>
      <c r="C620" s="4" t="s">
        <v>1453</v>
      </c>
      <c r="D620" s="4" t="s">
        <v>1454</v>
      </c>
      <c r="E620" s="4" t="str">
        <f>HYPERLINK("http://dx.doi.org/10.1007/s11869-011-0168-x","http://dx.doi.org/10.1007/s11869-011-0168-x")</f>
        <v>http://dx.doi.org/10.1007/s11869-011-0168-x</v>
      </c>
    </row>
    <row r="621" spans="1:5" x14ac:dyDescent="0.3">
      <c r="A621" s="3">
        <v>620</v>
      </c>
      <c r="B621" s="4" t="s">
        <v>1455</v>
      </c>
      <c r="C621" s="4" t="s">
        <v>1456</v>
      </c>
      <c r="D621" s="4" t="s">
        <v>698</v>
      </c>
      <c r="E621" s="4" t="str">
        <f>HYPERLINK("http://dx.doi.org/10.1108/DPM-02-2018-0057","http://dx.doi.org/10.1108/DPM-02-2018-0057")</f>
        <v>http://dx.doi.org/10.1108/DPM-02-2018-0057</v>
      </c>
    </row>
    <row r="622" spans="1:5" x14ac:dyDescent="0.3">
      <c r="A622" s="3">
        <v>621</v>
      </c>
      <c r="B622" s="4" t="s">
        <v>1457</v>
      </c>
      <c r="C622" s="4" t="s">
        <v>1458</v>
      </c>
      <c r="D622" s="4" t="s">
        <v>751</v>
      </c>
      <c r="E622" s="4" t="str">
        <f>HYPERLINK("http://dx.doi.org/10.3390/ijerph191912556","http://dx.doi.org/10.3390/ijerph191912556")</f>
        <v>http://dx.doi.org/10.3390/ijerph191912556</v>
      </c>
    </row>
    <row r="623" spans="1:5" x14ac:dyDescent="0.3">
      <c r="A623" s="3">
        <v>622</v>
      </c>
      <c r="B623" s="4" t="s">
        <v>1459</v>
      </c>
      <c r="C623" s="4" t="s">
        <v>1460</v>
      </c>
      <c r="D623" s="4" t="s">
        <v>701</v>
      </c>
      <c r="E623" s="4" t="str">
        <f>HYPERLINK("http://dx.doi.org/10.1016/j.enpol.2024.114182","http://dx.doi.org/10.1016/j.enpol.2024.114182")</f>
        <v>http://dx.doi.org/10.1016/j.enpol.2024.114182</v>
      </c>
    </row>
    <row r="624" spans="1:5" x14ac:dyDescent="0.3">
      <c r="A624" s="3">
        <v>623</v>
      </c>
      <c r="B624" s="4" t="s">
        <v>1461</v>
      </c>
      <c r="C624" s="4" t="s">
        <v>1462</v>
      </c>
      <c r="D624" s="4" t="s">
        <v>265</v>
      </c>
      <c r="E624" s="4" t="str">
        <f>HYPERLINK("http://dx.doi.org/10.1016/j.geoforum.2020.09.007","http://dx.doi.org/10.1016/j.geoforum.2020.09.007")</f>
        <v>http://dx.doi.org/10.1016/j.geoforum.2020.09.007</v>
      </c>
    </row>
    <row r="625" spans="1:5" x14ac:dyDescent="0.3">
      <c r="A625" s="3">
        <v>624</v>
      </c>
      <c r="B625" s="4" t="s">
        <v>1463</v>
      </c>
      <c r="C625" s="4" t="s">
        <v>1464</v>
      </c>
      <c r="D625" s="4" t="s">
        <v>155</v>
      </c>
      <c r="E625" s="4" t="str">
        <f>HYPERLINK("http://dx.doi.org/10.5751/ES-08373-210239","http://dx.doi.org/10.5751/ES-08373-210239")</f>
        <v>http://dx.doi.org/10.5751/ES-08373-210239</v>
      </c>
    </row>
    <row r="626" spans="1:5" x14ac:dyDescent="0.3">
      <c r="A626" s="3">
        <v>625</v>
      </c>
      <c r="B626" s="4" t="s">
        <v>1465</v>
      </c>
      <c r="C626" s="4" t="s">
        <v>1466</v>
      </c>
      <c r="D626" s="4" t="s">
        <v>1467</v>
      </c>
      <c r="E626" s="4" t="str">
        <f>HYPERLINK("http://dx.doi.org/10.1017/S1368980015000610","http://dx.doi.org/10.1017/S1368980015000610")</f>
        <v>http://dx.doi.org/10.1017/S1368980015000610</v>
      </c>
    </row>
    <row r="627" spans="1:5" x14ac:dyDescent="0.3">
      <c r="A627" s="3">
        <v>626</v>
      </c>
      <c r="B627" s="4" t="s">
        <v>1468</v>
      </c>
      <c r="C627" s="4" t="s">
        <v>1469</v>
      </c>
      <c r="D627" s="4" t="s">
        <v>488</v>
      </c>
      <c r="E627" s="4" t="str">
        <f>HYPERLINK("http://dx.doi.org/10.1029/2022WR033671","http://dx.doi.org/10.1029/2022WR033671")</f>
        <v>http://dx.doi.org/10.1029/2022WR033671</v>
      </c>
    </row>
    <row r="628" spans="1:5" x14ac:dyDescent="0.3">
      <c r="A628" s="3">
        <v>627</v>
      </c>
      <c r="B628" s="4" t="s">
        <v>1470</v>
      </c>
      <c r="C628" s="4" t="s">
        <v>1471</v>
      </c>
      <c r="D628" s="4" t="s">
        <v>1472</v>
      </c>
      <c r="E628" s="4" t="str">
        <f>HYPERLINK("http://dx.doi.org/10.3390/buildings14020523","http://dx.doi.org/10.3390/buildings14020523")</f>
        <v>http://dx.doi.org/10.3390/buildings14020523</v>
      </c>
    </row>
    <row r="629" spans="1:5" x14ac:dyDescent="0.3">
      <c r="A629" s="3">
        <v>628</v>
      </c>
      <c r="B629" s="4" t="s">
        <v>1473</v>
      </c>
      <c r="C629" s="4" t="s">
        <v>1474</v>
      </c>
      <c r="D629" s="4" t="s">
        <v>1475</v>
      </c>
      <c r="E629" s="4" t="str">
        <f>HYPERLINK("http://dx.doi.org/10.15779/Z38086363B","http://dx.doi.org/10.15779/Z38086363B")</f>
        <v>http://dx.doi.org/10.15779/Z38086363B</v>
      </c>
    </row>
    <row r="630" spans="1:5" x14ac:dyDescent="0.3">
      <c r="A630" s="3">
        <v>629</v>
      </c>
      <c r="B630" s="4" t="s">
        <v>1476</v>
      </c>
      <c r="C630" s="4" t="s">
        <v>1477</v>
      </c>
      <c r="D630" s="4" t="s">
        <v>185</v>
      </c>
      <c r="E630" s="4" t="str">
        <f>HYPERLINK("http://dx.doi.org/10.3389/fsufs.2022.719913","http://dx.doi.org/10.3389/fsufs.2022.719913")</f>
        <v>http://dx.doi.org/10.3389/fsufs.2022.719913</v>
      </c>
    </row>
    <row r="631" spans="1:5" x14ac:dyDescent="0.3">
      <c r="A631" s="3">
        <v>630</v>
      </c>
      <c r="B631" s="4" t="s">
        <v>1478</v>
      </c>
      <c r="C631" s="4" t="s">
        <v>1479</v>
      </c>
      <c r="D631" s="4" t="s">
        <v>614</v>
      </c>
      <c r="E631" s="4" t="str">
        <f>HYPERLINK("http://dx.doi.org/10.1080/1943815X.2024.2375995","http://dx.doi.org/10.1080/1943815X.2024.2375995")</f>
        <v>http://dx.doi.org/10.1080/1943815X.2024.2375995</v>
      </c>
    </row>
    <row r="632" spans="1:5" x14ac:dyDescent="0.3">
      <c r="A632" s="3">
        <v>631</v>
      </c>
      <c r="B632" s="4" t="s">
        <v>1480</v>
      </c>
      <c r="C632" s="4" t="s">
        <v>1481</v>
      </c>
      <c r="D632" s="4" t="s">
        <v>9</v>
      </c>
      <c r="E632" s="4" t="str">
        <f>HYPERLINK("http://dx.doi.org/10.1016/j.gloenvcha.2015.11.003","http://dx.doi.org/10.1016/j.gloenvcha.2015.11.003")</f>
        <v>http://dx.doi.org/10.1016/j.gloenvcha.2015.11.003</v>
      </c>
    </row>
    <row r="633" spans="1:5" x14ac:dyDescent="0.3">
      <c r="A633" s="3">
        <v>632</v>
      </c>
      <c r="B633" s="4" t="s">
        <v>1482</v>
      </c>
      <c r="C633" s="4" t="s">
        <v>1483</v>
      </c>
      <c r="D633" s="4" t="s">
        <v>656</v>
      </c>
      <c r="E633" s="4" t="str">
        <f>HYPERLINK("http://dx.doi.org/10.1080/14702541.2014.907442","http://dx.doi.org/10.1080/14702541.2014.907442")</f>
        <v>http://dx.doi.org/10.1080/14702541.2014.907442</v>
      </c>
    </row>
    <row r="634" spans="1:5" x14ac:dyDescent="0.3">
      <c r="A634" s="3">
        <v>633</v>
      </c>
      <c r="B634" s="4" t="s">
        <v>1484</v>
      </c>
      <c r="C634" s="4" t="s">
        <v>1485</v>
      </c>
      <c r="D634" s="4" t="s">
        <v>178</v>
      </c>
      <c r="E634" s="4" t="str">
        <f>HYPERLINK("http://dx.doi.org/10.1016/j.ecoser.2017.07.016","http://dx.doi.org/10.1016/j.ecoser.2017.07.016")</f>
        <v>http://dx.doi.org/10.1016/j.ecoser.2017.07.016</v>
      </c>
    </row>
    <row r="635" spans="1:5" x14ac:dyDescent="0.3">
      <c r="A635" s="3">
        <v>634</v>
      </c>
      <c r="B635" s="4" t="s">
        <v>1486</v>
      </c>
      <c r="C635" s="4" t="s">
        <v>1487</v>
      </c>
      <c r="D635" s="4" t="s">
        <v>1488</v>
      </c>
      <c r="E635" s="4" t="str">
        <f>HYPERLINK("http://dx.doi.org/10.1016/j.jtrangeo.2023.103755","http://dx.doi.org/10.1016/j.jtrangeo.2023.103755")</f>
        <v>http://dx.doi.org/10.1016/j.jtrangeo.2023.103755</v>
      </c>
    </row>
    <row r="636" spans="1:5" x14ac:dyDescent="0.3">
      <c r="A636" s="3">
        <v>635</v>
      </c>
      <c r="B636" s="4" t="s">
        <v>1489</v>
      </c>
      <c r="C636" s="4" t="s">
        <v>1490</v>
      </c>
      <c r="D636" s="4" t="s">
        <v>40</v>
      </c>
      <c r="E636" s="4" t="str">
        <f>HYPERLINK("http://dx.doi.org/10.3390/su10051458","http://dx.doi.org/10.3390/su10051458")</f>
        <v>http://dx.doi.org/10.3390/su10051458</v>
      </c>
    </row>
    <row r="637" spans="1:5" x14ac:dyDescent="0.3">
      <c r="A637" s="3">
        <v>636</v>
      </c>
      <c r="B637" s="4" t="s">
        <v>1491</v>
      </c>
      <c r="C637" s="4" t="s">
        <v>1492</v>
      </c>
      <c r="D637" s="4" t="s">
        <v>788</v>
      </c>
      <c r="E637" s="4" t="str">
        <f>HYPERLINK("http://dx.doi.org/10.1080/01944363.2024.2396923","http://dx.doi.org/10.1080/01944363.2024.2396923")</f>
        <v>http://dx.doi.org/10.1080/01944363.2024.2396923</v>
      </c>
    </row>
    <row r="638" spans="1:5" x14ac:dyDescent="0.3">
      <c r="A638" s="3">
        <v>637</v>
      </c>
      <c r="B638" s="4" t="s">
        <v>1493</v>
      </c>
      <c r="C638" s="4" t="s">
        <v>1494</v>
      </c>
      <c r="D638" s="4" t="s">
        <v>1495</v>
      </c>
      <c r="E638" s="4" t="str">
        <f>HYPERLINK("http://dx.doi.org/10.1016/j.advnut.2024.100274","http://dx.doi.org/10.1016/j.advnut.2024.100274")</f>
        <v>http://dx.doi.org/10.1016/j.advnut.2024.100274</v>
      </c>
    </row>
    <row r="639" spans="1:5" x14ac:dyDescent="0.3">
      <c r="A639" s="3">
        <v>638</v>
      </c>
      <c r="B639" s="4" t="s">
        <v>1496</v>
      </c>
      <c r="C639" s="4" t="s">
        <v>1497</v>
      </c>
      <c r="D639" s="4" t="s">
        <v>20</v>
      </c>
      <c r="E639" s="4" t="str">
        <f>HYPERLINK("http://dx.doi.org/10.1088/1748-9326/ac22bf","http://dx.doi.org/10.1088/1748-9326/ac22bf")</f>
        <v>http://dx.doi.org/10.1088/1748-9326/ac22bf</v>
      </c>
    </row>
    <row r="640" spans="1:5" x14ac:dyDescent="0.3">
      <c r="A640" s="3">
        <v>639</v>
      </c>
      <c r="B640" s="4" t="s">
        <v>1498</v>
      </c>
      <c r="C640" s="4" t="s">
        <v>1499</v>
      </c>
      <c r="D640" s="4" t="s">
        <v>591</v>
      </c>
      <c r="E640" s="4" t="str">
        <f>HYPERLINK("http://dx.doi.org/10.1016/j.marpol.2021.104911","http://dx.doi.org/10.1016/j.marpol.2021.104911")</f>
        <v>http://dx.doi.org/10.1016/j.marpol.2021.104911</v>
      </c>
    </row>
    <row r="641" spans="1:5" x14ac:dyDescent="0.3">
      <c r="A641" s="3">
        <v>640</v>
      </c>
      <c r="B641" s="4" t="s">
        <v>1500</v>
      </c>
      <c r="C641" s="4" t="s">
        <v>1501</v>
      </c>
      <c r="D641" s="4" t="s">
        <v>138</v>
      </c>
      <c r="E641" s="4" t="str">
        <f>HYPERLINK("http://dx.doi.org/10.1016/j.scs.2024.105984","http://dx.doi.org/10.1016/j.scs.2024.105984")</f>
        <v>http://dx.doi.org/10.1016/j.scs.2024.105984</v>
      </c>
    </row>
    <row r="642" spans="1:5" x14ac:dyDescent="0.3">
      <c r="A642" s="3">
        <v>641</v>
      </c>
      <c r="B642" s="4" t="s">
        <v>1502</v>
      </c>
      <c r="C642" s="4" t="s">
        <v>1503</v>
      </c>
      <c r="D642" s="4" t="s">
        <v>53</v>
      </c>
      <c r="E642" s="4" t="str">
        <f>HYPERLINK("http://dx.doi.org/10.1177/0739456X211053654","http://dx.doi.org/10.1177/0739456X211053654")</f>
        <v>http://dx.doi.org/10.1177/0739456X211053654</v>
      </c>
    </row>
    <row r="643" spans="1:5" x14ac:dyDescent="0.3">
      <c r="A643" s="3">
        <v>642</v>
      </c>
      <c r="B643" s="4" t="s">
        <v>1504</v>
      </c>
      <c r="C643" s="4" t="s">
        <v>1505</v>
      </c>
      <c r="D643" s="4" t="s">
        <v>155</v>
      </c>
      <c r="E643" s="4" t="str">
        <f>HYPERLINK("http://dx.doi.org/10.5751/ES-13544-270405","http://dx.doi.org/10.5751/ES-13544-270405")</f>
        <v>http://dx.doi.org/10.5751/ES-13544-270405</v>
      </c>
    </row>
    <row r="644" spans="1:5" x14ac:dyDescent="0.3">
      <c r="A644" s="3">
        <v>643</v>
      </c>
      <c r="B644" s="4" t="s">
        <v>1506</v>
      </c>
      <c r="C644" s="4" t="s">
        <v>1507</v>
      </c>
      <c r="D644" s="4" t="s">
        <v>694</v>
      </c>
      <c r="E644" s="4" t="str">
        <f>HYPERLINK("http://dx.doi.org/10.3389/fenvs.2023.1218819","http://dx.doi.org/10.3389/fenvs.2023.1218819")</f>
        <v>http://dx.doi.org/10.3389/fenvs.2023.1218819</v>
      </c>
    </row>
    <row r="645" spans="1:5" x14ac:dyDescent="0.3">
      <c r="A645" s="3">
        <v>644</v>
      </c>
      <c r="B645" s="4" t="s">
        <v>1508</v>
      </c>
      <c r="C645" s="4" t="s">
        <v>1509</v>
      </c>
      <c r="D645" s="4" t="s">
        <v>26</v>
      </c>
      <c r="E645" s="4" t="str">
        <f>HYPERLINK("http://dx.doi.org/10.1016/j.ecolecon.2022.107648","http://dx.doi.org/10.1016/j.ecolecon.2022.107648")</f>
        <v>http://dx.doi.org/10.1016/j.ecolecon.2022.107648</v>
      </c>
    </row>
    <row r="646" spans="1:5" x14ac:dyDescent="0.3">
      <c r="A646" s="3">
        <v>645</v>
      </c>
      <c r="B646" s="4" t="s">
        <v>1510</v>
      </c>
      <c r="C646" s="4" t="s">
        <v>1511</v>
      </c>
      <c r="D646" s="4" t="s">
        <v>40</v>
      </c>
      <c r="E646" s="4" t="str">
        <f>HYPERLINK("http://dx.doi.org/10.3390/su10072165","http://dx.doi.org/10.3390/su10072165")</f>
        <v>http://dx.doi.org/10.3390/su10072165</v>
      </c>
    </row>
    <row r="647" spans="1:5" x14ac:dyDescent="0.3">
      <c r="A647" s="3">
        <v>646</v>
      </c>
      <c r="B647" s="4" t="s">
        <v>1512</v>
      </c>
      <c r="C647" s="4" t="s">
        <v>1513</v>
      </c>
      <c r="D647" s="4" t="s">
        <v>9</v>
      </c>
      <c r="E647" s="4" t="str">
        <f>HYPERLINK("http://dx.doi.org/10.1016/j.gloenvcha.2021.102446","http://dx.doi.org/10.1016/j.gloenvcha.2021.102446")</f>
        <v>http://dx.doi.org/10.1016/j.gloenvcha.2021.102446</v>
      </c>
    </row>
    <row r="648" spans="1:5" x14ac:dyDescent="0.3">
      <c r="A648" s="3">
        <v>647</v>
      </c>
      <c r="B648" s="4" t="s">
        <v>1514</v>
      </c>
      <c r="C648" s="4" t="s">
        <v>1515</v>
      </c>
      <c r="D648" s="4" t="s">
        <v>23</v>
      </c>
      <c r="E648" s="4" t="str">
        <f>HYPERLINK("http://dx.doi.org/10.1016/j.uclim.2024.102100","http://dx.doi.org/10.1016/j.uclim.2024.102100")</f>
        <v>http://dx.doi.org/10.1016/j.uclim.2024.102100</v>
      </c>
    </row>
    <row r="649" spans="1:5" x14ac:dyDescent="0.3">
      <c r="A649" s="3">
        <v>648</v>
      </c>
      <c r="B649" s="4" t="s">
        <v>1516</v>
      </c>
      <c r="C649" s="4" t="s">
        <v>1517</v>
      </c>
      <c r="D649" s="4" t="s">
        <v>1518</v>
      </c>
      <c r="E649" s="4" t="str">
        <f>HYPERLINK("http://dx.doi.org/10.1016/j.fuel.2023.130292","http://dx.doi.org/10.1016/j.fuel.2023.130292")</f>
        <v>http://dx.doi.org/10.1016/j.fuel.2023.130292</v>
      </c>
    </row>
    <row r="650" spans="1:5" x14ac:dyDescent="0.3">
      <c r="A650" s="3">
        <v>649</v>
      </c>
      <c r="B650" s="4" t="s">
        <v>1519</v>
      </c>
      <c r="C650" s="4" t="s">
        <v>1520</v>
      </c>
      <c r="D650" s="4" t="s">
        <v>23</v>
      </c>
      <c r="E650" s="4" t="str">
        <f>HYPERLINK("http://dx.doi.org/10.1016/j.uclim.2023.101656","http://dx.doi.org/10.1016/j.uclim.2023.101656")</f>
        <v>http://dx.doi.org/10.1016/j.uclim.2023.101656</v>
      </c>
    </row>
    <row r="651" spans="1:5" x14ac:dyDescent="0.3">
      <c r="A651" s="3">
        <v>650</v>
      </c>
      <c r="B651" s="4" t="s">
        <v>1521</v>
      </c>
      <c r="C651" s="4" t="s">
        <v>1522</v>
      </c>
      <c r="D651" s="4" t="s">
        <v>950</v>
      </c>
      <c r="E651" s="4" t="str">
        <f>HYPERLINK("http://dx.doi.org/10.1016/j.jenvp.2024.102292","http://dx.doi.org/10.1016/j.jenvp.2024.102292")</f>
        <v>http://dx.doi.org/10.1016/j.jenvp.2024.102292</v>
      </c>
    </row>
    <row r="652" spans="1:5" x14ac:dyDescent="0.3">
      <c r="A652" s="3">
        <v>651</v>
      </c>
      <c r="B652" s="4" t="s">
        <v>1523</v>
      </c>
      <c r="C652" s="4" t="s">
        <v>1524</v>
      </c>
      <c r="D652" s="4" t="s">
        <v>1525</v>
      </c>
      <c r="E652" s="4" t="str">
        <f>HYPERLINK("http://dx.doi.org/10.1016/j.progress.2011.05.001","http://dx.doi.org/10.1016/j.progress.2011.05.001")</f>
        <v>http://dx.doi.org/10.1016/j.progress.2011.05.001</v>
      </c>
    </row>
    <row r="653" spans="1:5" x14ac:dyDescent="0.3">
      <c r="A653" s="3">
        <v>652</v>
      </c>
      <c r="B653" s="4" t="s">
        <v>1526</v>
      </c>
      <c r="C653" s="4" t="s">
        <v>1527</v>
      </c>
      <c r="D653" s="4" t="s">
        <v>335</v>
      </c>
      <c r="E653" s="4" t="str">
        <f>HYPERLINK("http://dx.doi.org/10.1007/s11069-018-3529-z","http://dx.doi.org/10.1007/s11069-018-3529-z")</f>
        <v>http://dx.doi.org/10.1007/s11069-018-3529-z</v>
      </c>
    </row>
    <row r="654" spans="1:5" x14ac:dyDescent="0.3">
      <c r="A654" s="3">
        <v>653</v>
      </c>
      <c r="B654" s="4" t="s">
        <v>1528</v>
      </c>
      <c r="C654" s="4" t="s">
        <v>1529</v>
      </c>
      <c r="D654" s="4" t="s">
        <v>265</v>
      </c>
      <c r="E654" s="4" t="str">
        <f>HYPERLINK("http://dx.doi.org/10.1016/j.geoforum.2023.103754","http://dx.doi.org/10.1016/j.geoforum.2023.103754")</f>
        <v>http://dx.doi.org/10.1016/j.geoforum.2023.103754</v>
      </c>
    </row>
    <row r="655" spans="1:5" x14ac:dyDescent="0.3">
      <c r="A655" s="3">
        <v>654</v>
      </c>
      <c r="B655" s="4" t="s">
        <v>1530</v>
      </c>
      <c r="C655" s="4" t="s">
        <v>1531</v>
      </c>
      <c r="D655" s="4" t="s">
        <v>26</v>
      </c>
      <c r="E655" s="4" t="str">
        <f>HYPERLINK("http://dx.doi.org/10.1016/j.ecolecon.2020.106781","http://dx.doi.org/10.1016/j.ecolecon.2020.106781")</f>
        <v>http://dx.doi.org/10.1016/j.ecolecon.2020.106781</v>
      </c>
    </row>
    <row r="656" spans="1:5" x14ac:dyDescent="0.3">
      <c r="A656" s="3">
        <v>655</v>
      </c>
      <c r="B656" s="4" t="s">
        <v>1532</v>
      </c>
      <c r="C656" s="4" t="s">
        <v>1533</v>
      </c>
      <c r="D656" s="4" t="s">
        <v>116</v>
      </c>
      <c r="E656" s="4" t="str">
        <f>HYPERLINK("http://dx.doi.org/10.1002/wcc.549","http://dx.doi.org/10.1002/wcc.549")</f>
        <v>http://dx.doi.org/10.1002/wcc.549</v>
      </c>
    </row>
    <row r="657" spans="1:5" x14ac:dyDescent="0.3">
      <c r="A657" s="3">
        <v>656</v>
      </c>
      <c r="B657" s="4" t="s">
        <v>1534</v>
      </c>
      <c r="C657" s="4" t="s">
        <v>1535</v>
      </c>
      <c r="D657" s="4" t="s">
        <v>61</v>
      </c>
      <c r="E657" s="4" t="str">
        <f>HYPERLINK("http://dx.doi.org/10.1080/17565529.2019.1701973","http://dx.doi.org/10.1080/17565529.2019.1701973")</f>
        <v>http://dx.doi.org/10.1080/17565529.2019.1701973</v>
      </c>
    </row>
    <row r="658" spans="1:5" x14ac:dyDescent="0.3">
      <c r="A658" s="3">
        <v>657</v>
      </c>
      <c r="B658" s="4" t="s">
        <v>1536</v>
      </c>
      <c r="C658" s="4" t="s">
        <v>1537</v>
      </c>
      <c r="D658" s="4" t="s">
        <v>61</v>
      </c>
      <c r="E658" s="4" t="str">
        <f>HYPERLINK("http://dx.doi.org/10.1080/17565529.2019.1640656","http://dx.doi.org/10.1080/17565529.2019.1640656")</f>
        <v>http://dx.doi.org/10.1080/17565529.2019.1640656</v>
      </c>
    </row>
    <row r="659" spans="1:5" x14ac:dyDescent="0.3">
      <c r="A659" s="3">
        <v>658</v>
      </c>
      <c r="B659" s="4" t="s">
        <v>1538</v>
      </c>
      <c r="C659" s="4" t="s">
        <v>1539</v>
      </c>
      <c r="D659" s="4" t="s">
        <v>591</v>
      </c>
      <c r="E659" s="4" t="str">
        <f>HYPERLINK("http://dx.doi.org/10.1016/j.marpol.2022.105312","http://dx.doi.org/10.1016/j.marpol.2022.105312")</f>
        <v>http://dx.doi.org/10.1016/j.marpol.2022.105312</v>
      </c>
    </row>
    <row r="660" spans="1:5" x14ac:dyDescent="0.3">
      <c r="A660" s="3">
        <v>659</v>
      </c>
      <c r="B660" s="4" t="s">
        <v>1540</v>
      </c>
      <c r="C660" s="4" t="s">
        <v>1541</v>
      </c>
      <c r="D660" s="4" t="s">
        <v>46</v>
      </c>
      <c r="E660" s="4" t="str">
        <f>HYPERLINK("http://dx.doi.org/10.1007/s10584-019-02507-5","http://dx.doi.org/10.1007/s10584-019-02507-5")</f>
        <v>http://dx.doi.org/10.1007/s10584-019-02507-5</v>
      </c>
    </row>
    <row r="661" spans="1:5" x14ac:dyDescent="0.3">
      <c r="A661" s="3">
        <v>660</v>
      </c>
      <c r="B661" s="4" t="s">
        <v>1542</v>
      </c>
      <c r="C661" s="4" t="s">
        <v>1543</v>
      </c>
      <c r="D661" s="4" t="s">
        <v>138</v>
      </c>
      <c r="E661" s="4" t="str">
        <f>HYPERLINK("http://dx.doi.org/10.1016/j.scs.2021.103278","http://dx.doi.org/10.1016/j.scs.2021.103278")</f>
        <v>http://dx.doi.org/10.1016/j.scs.2021.103278</v>
      </c>
    </row>
    <row r="662" spans="1:5" x14ac:dyDescent="0.3">
      <c r="A662" s="3">
        <v>661</v>
      </c>
      <c r="B662" s="4" t="s">
        <v>1544</v>
      </c>
      <c r="C662" s="4" t="s">
        <v>1545</v>
      </c>
      <c r="D662" s="4" t="s">
        <v>1546</v>
      </c>
      <c r="E662" s="4" t="str">
        <f>HYPERLINK("http://dx.doi.org/10.1289/ehp.1205919","http://dx.doi.org/10.1289/ehp.1205919")</f>
        <v>http://dx.doi.org/10.1289/ehp.1205919</v>
      </c>
    </row>
    <row r="663" spans="1:5" x14ac:dyDescent="0.3">
      <c r="A663" s="3">
        <v>662</v>
      </c>
      <c r="B663" s="4" t="s">
        <v>1547</v>
      </c>
      <c r="C663" s="4" t="s">
        <v>1548</v>
      </c>
      <c r="D663" s="4" t="s">
        <v>1549</v>
      </c>
      <c r="E663" s="4" t="str">
        <f>HYPERLINK("http://dx.doi.org/10.1007/s11104-022-05472-8","http://dx.doi.org/10.1007/s11104-022-05472-8")</f>
        <v>http://dx.doi.org/10.1007/s11104-022-05472-8</v>
      </c>
    </row>
    <row r="664" spans="1:5" x14ac:dyDescent="0.3">
      <c r="A664" s="3">
        <v>663</v>
      </c>
      <c r="B664" s="4" t="s">
        <v>1550</v>
      </c>
      <c r="C664" s="4" t="s">
        <v>1551</v>
      </c>
      <c r="D664" s="4" t="s">
        <v>98</v>
      </c>
      <c r="E664" s="4" t="str">
        <f>HYPERLINK("http://dx.doi.org/10.1016/j.landusepol.2022.106124","http://dx.doi.org/10.1016/j.landusepol.2022.106124")</f>
        <v>http://dx.doi.org/10.1016/j.landusepol.2022.106124</v>
      </c>
    </row>
    <row r="665" spans="1:5" x14ac:dyDescent="0.3">
      <c r="A665" s="3">
        <v>664</v>
      </c>
      <c r="B665" s="4" t="s">
        <v>1552</v>
      </c>
      <c r="C665" s="4" t="s">
        <v>1553</v>
      </c>
      <c r="D665" s="4" t="s">
        <v>77</v>
      </c>
      <c r="E665" s="4" t="str">
        <f>HYPERLINK("http://dx.doi.org/10.1016/j.cities.2021.103319","http://dx.doi.org/10.1016/j.cities.2021.103319")</f>
        <v>http://dx.doi.org/10.1016/j.cities.2021.103319</v>
      </c>
    </row>
    <row r="666" spans="1:5" x14ac:dyDescent="0.3">
      <c r="A666" s="3">
        <v>665</v>
      </c>
      <c r="B666" s="4" t="s">
        <v>1554</v>
      </c>
      <c r="C666" s="4" t="s">
        <v>1555</v>
      </c>
      <c r="D666" s="4" t="s">
        <v>64</v>
      </c>
      <c r="E666" s="4" t="str">
        <f>HYPERLINK("http://dx.doi.org/10.1080/14693062.2023.2261881","http://dx.doi.org/10.1080/14693062.2023.2261881")</f>
        <v>http://dx.doi.org/10.1080/14693062.2023.2261881</v>
      </c>
    </row>
    <row r="667" spans="1:5" x14ac:dyDescent="0.3">
      <c r="A667" s="3">
        <v>666</v>
      </c>
      <c r="B667" s="4" t="s">
        <v>1556</v>
      </c>
      <c r="C667" s="4" t="s">
        <v>1557</v>
      </c>
      <c r="D667" s="4" t="s">
        <v>116</v>
      </c>
      <c r="E667" s="4" t="str">
        <f>HYPERLINK("http://dx.doi.org/10.1002/wcc.600","http://dx.doi.org/10.1002/wcc.600")</f>
        <v>http://dx.doi.org/10.1002/wcc.600</v>
      </c>
    </row>
    <row r="668" spans="1:5" x14ac:dyDescent="0.3">
      <c r="A668" s="3">
        <v>667</v>
      </c>
      <c r="B668" s="4" t="s">
        <v>1558</v>
      </c>
      <c r="C668" s="4" t="s">
        <v>1559</v>
      </c>
      <c r="D668" s="4" t="s">
        <v>1560</v>
      </c>
      <c r="E668" s="4" t="str">
        <f>HYPERLINK("http://dx.doi.org/10.1177/03611981211036367","http://dx.doi.org/10.1177/03611981211036367")</f>
        <v>http://dx.doi.org/10.1177/03611981211036367</v>
      </c>
    </row>
    <row r="669" spans="1:5" x14ac:dyDescent="0.3">
      <c r="A669" s="3">
        <v>668</v>
      </c>
      <c r="B669" s="4" t="s">
        <v>1561</v>
      </c>
      <c r="C669" s="4" t="s">
        <v>1562</v>
      </c>
      <c r="D669" s="4" t="s">
        <v>1563</v>
      </c>
      <c r="E669" s="4" t="str">
        <f>HYPERLINK("http://dx.doi.org/10.1080/18626033.2019.1705570","http://dx.doi.org/10.1080/18626033.2019.1705570")</f>
        <v>http://dx.doi.org/10.1080/18626033.2019.1705570</v>
      </c>
    </row>
    <row r="670" spans="1:5" x14ac:dyDescent="0.3">
      <c r="A670" s="3">
        <v>669</v>
      </c>
      <c r="B670" s="4" t="s">
        <v>1564</v>
      </c>
      <c r="C670" s="4" t="s">
        <v>1565</v>
      </c>
      <c r="D670" s="4" t="s">
        <v>1566</v>
      </c>
      <c r="E670" s="4" t="str">
        <f>HYPERLINK("http://dx.doi.org/10.3390/en13184839","http://dx.doi.org/10.3390/en13184839")</f>
        <v>http://dx.doi.org/10.3390/en13184839</v>
      </c>
    </row>
    <row r="671" spans="1:5" x14ac:dyDescent="0.3">
      <c r="A671" s="3">
        <v>670</v>
      </c>
      <c r="B671" s="4" t="s">
        <v>1567</v>
      </c>
      <c r="C671" s="4" t="s">
        <v>1568</v>
      </c>
      <c r="D671" s="4" t="s">
        <v>285</v>
      </c>
      <c r="E671" s="4" t="str">
        <f>HYPERLINK("http://dx.doi.org/10.1016/j.crm.2023.100574","http://dx.doi.org/10.1016/j.crm.2023.100574")</f>
        <v>http://dx.doi.org/10.1016/j.crm.2023.100574</v>
      </c>
    </row>
    <row r="672" spans="1:5" x14ac:dyDescent="0.3">
      <c r="A672" s="3">
        <v>671</v>
      </c>
      <c r="B672" s="4" t="s">
        <v>1569</v>
      </c>
      <c r="C672" s="4" t="s">
        <v>1570</v>
      </c>
      <c r="D672" s="4" t="s">
        <v>64</v>
      </c>
      <c r="E672" s="4" t="str">
        <f>HYPERLINK("http://dx.doi.org/10.1080/14693062.2018.1450724","http://dx.doi.org/10.1080/14693062.2018.1450724")</f>
        <v>http://dx.doi.org/10.1080/14693062.2018.1450724</v>
      </c>
    </row>
    <row r="673" spans="1:5" x14ac:dyDescent="0.3">
      <c r="A673" s="3">
        <v>672</v>
      </c>
      <c r="B673" s="4" t="s">
        <v>1571</v>
      </c>
      <c r="C673" s="4" t="s">
        <v>1572</v>
      </c>
      <c r="D673" s="4" t="s">
        <v>23</v>
      </c>
      <c r="E673" s="4" t="str">
        <f>HYPERLINK("http://dx.doi.org/10.1016/j.uclim.2023.101800","http://dx.doi.org/10.1016/j.uclim.2023.101800")</f>
        <v>http://dx.doi.org/10.1016/j.uclim.2023.101800</v>
      </c>
    </row>
    <row r="674" spans="1:5" x14ac:dyDescent="0.3">
      <c r="A674" s="3">
        <v>673</v>
      </c>
      <c r="B674" s="4" t="s">
        <v>1573</v>
      </c>
      <c r="C674" s="4" t="s">
        <v>1574</v>
      </c>
      <c r="D674" s="4" t="s">
        <v>155</v>
      </c>
      <c r="E674" s="4" t="str">
        <f>HYPERLINK("http://dx.doi.org/10.5751/ES-06264-190224","http://dx.doi.org/10.5751/ES-06264-190224")</f>
        <v>http://dx.doi.org/10.5751/ES-06264-190224</v>
      </c>
    </row>
    <row r="675" spans="1:5" x14ac:dyDescent="0.3">
      <c r="A675" s="3">
        <v>674</v>
      </c>
      <c r="B675" s="4" t="s">
        <v>1575</v>
      </c>
      <c r="C675" s="4" t="s">
        <v>1576</v>
      </c>
      <c r="D675" s="4" t="s">
        <v>155</v>
      </c>
      <c r="E675" s="4" t="str">
        <f>HYPERLINK("http://dx.doi.org/10.5751/ES-10548-230443","http://dx.doi.org/10.5751/ES-10548-230443")</f>
        <v>http://dx.doi.org/10.5751/ES-10548-230443</v>
      </c>
    </row>
    <row r="676" spans="1:5" x14ac:dyDescent="0.3">
      <c r="A676" s="3">
        <v>675</v>
      </c>
      <c r="B676" s="4" t="s">
        <v>1577</v>
      </c>
      <c r="C676" s="4" t="s">
        <v>1578</v>
      </c>
      <c r="D676" s="4" t="s">
        <v>444</v>
      </c>
      <c r="E676" s="4" t="str">
        <f>HYPERLINK("http://dx.doi.org/10.3390/w15132341","http://dx.doi.org/10.3390/w15132341")</f>
        <v>http://dx.doi.org/10.3390/w15132341</v>
      </c>
    </row>
    <row r="677" spans="1:5" x14ac:dyDescent="0.3">
      <c r="A677" s="3">
        <v>676</v>
      </c>
      <c r="B677" s="4" t="s">
        <v>1579</v>
      </c>
      <c r="C677" s="4" t="s">
        <v>1580</v>
      </c>
      <c r="D677" s="4" t="s">
        <v>155</v>
      </c>
      <c r="E677" s="4" t="str">
        <f>HYPERLINK("http://dx.doi.org/10.5751/ES-08648-210426","http://dx.doi.org/10.5751/ES-08648-210426")</f>
        <v>http://dx.doi.org/10.5751/ES-08648-210426</v>
      </c>
    </row>
    <row r="678" spans="1:5" x14ac:dyDescent="0.3">
      <c r="A678" s="3">
        <v>677</v>
      </c>
      <c r="B678" s="4" t="s">
        <v>1581</v>
      </c>
      <c r="C678" s="4" t="s">
        <v>1582</v>
      </c>
      <c r="D678" s="4" t="s">
        <v>519</v>
      </c>
      <c r="E678" s="4" t="str">
        <f>HYPERLINK("http://dx.doi.org/10.1002/eet.1987","http://dx.doi.org/10.1002/eet.1987")</f>
        <v>http://dx.doi.org/10.1002/eet.1987</v>
      </c>
    </row>
    <row r="679" spans="1:5" x14ac:dyDescent="0.3">
      <c r="A679" s="3">
        <v>678</v>
      </c>
      <c r="B679" s="4" t="s">
        <v>1583</v>
      </c>
      <c r="C679" s="4" t="s">
        <v>1584</v>
      </c>
      <c r="D679" s="4" t="s">
        <v>61</v>
      </c>
      <c r="E679" s="4" t="str">
        <f>HYPERLINK("http://dx.doi.org/10.1080/17565529.2013.833077","http://dx.doi.org/10.1080/17565529.2013.833077")</f>
        <v>http://dx.doi.org/10.1080/17565529.2013.833077</v>
      </c>
    </row>
    <row r="680" spans="1:5" x14ac:dyDescent="0.3">
      <c r="A680" s="3">
        <v>679</v>
      </c>
      <c r="B680" s="4" t="s">
        <v>1585</v>
      </c>
      <c r="C680" s="4" t="s">
        <v>1586</v>
      </c>
      <c r="D680" s="4" t="s">
        <v>138</v>
      </c>
      <c r="E680" s="4" t="str">
        <f>HYPERLINK("http://dx.doi.org/10.1016/j.scs.2022.104242","http://dx.doi.org/10.1016/j.scs.2022.104242")</f>
        <v>http://dx.doi.org/10.1016/j.scs.2022.104242</v>
      </c>
    </row>
    <row r="681" spans="1:5" x14ac:dyDescent="0.3">
      <c r="A681" s="3">
        <v>680</v>
      </c>
      <c r="B681" s="4" t="s">
        <v>1587</v>
      </c>
      <c r="C681" s="4" t="s">
        <v>1588</v>
      </c>
      <c r="D681" s="4" t="s">
        <v>976</v>
      </c>
      <c r="E681" s="4" t="str">
        <f>HYPERLINK("http://dx.doi.org/10.1111/gcb.16156","http://dx.doi.org/10.1111/gcb.16156")</f>
        <v>http://dx.doi.org/10.1111/gcb.16156</v>
      </c>
    </row>
    <row r="682" spans="1:5" x14ac:dyDescent="0.3">
      <c r="A682" s="3">
        <v>681</v>
      </c>
      <c r="B682" s="4" t="s">
        <v>1589</v>
      </c>
      <c r="C682" s="4" t="s">
        <v>1590</v>
      </c>
      <c r="D682" s="4" t="s">
        <v>1197</v>
      </c>
      <c r="E682" s="4" t="str">
        <f>HYPERLINK("http://dx.doi.org/10.1016/j.scitotenv.2023.167739","http://dx.doi.org/10.1016/j.scitotenv.2023.167739")</f>
        <v>http://dx.doi.org/10.1016/j.scitotenv.2023.167739</v>
      </c>
    </row>
    <row r="683" spans="1:5" x14ac:dyDescent="0.3">
      <c r="A683" s="3">
        <v>682</v>
      </c>
      <c r="B683" s="4" t="s">
        <v>1591</v>
      </c>
      <c r="C683" s="4" t="s">
        <v>1592</v>
      </c>
      <c r="D683" s="4" t="s">
        <v>138</v>
      </c>
      <c r="E683" s="4" t="str">
        <f>HYPERLINK("http://dx.doi.org/10.1016/j.scs.2021.103634","http://dx.doi.org/10.1016/j.scs.2021.103634")</f>
        <v>http://dx.doi.org/10.1016/j.scs.2021.103634</v>
      </c>
    </row>
    <row r="684" spans="1:5" x14ac:dyDescent="0.3">
      <c r="A684" s="3">
        <v>683</v>
      </c>
      <c r="B684" s="4" t="s">
        <v>1593</v>
      </c>
      <c r="C684" s="4" t="s">
        <v>1594</v>
      </c>
      <c r="D684" s="4" t="s">
        <v>1595</v>
      </c>
      <c r="E684" s="4" t="str">
        <f>HYPERLINK("http://dx.doi.org/10.1016/j.rser.2012.01.081","http://dx.doi.org/10.1016/j.rser.2012.01.081")</f>
        <v>http://dx.doi.org/10.1016/j.rser.2012.01.081</v>
      </c>
    </row>
    <row r="685" spans="1:5" x14ac:dyDescent="0.3">
      <c r="A685" s="3">
        <v>684</v>
      </c>
      <c r="B685" s="4" t="s">
        <v>1596</v>
      </c>
      <c r="C685" s="4" t="s">
        <v>1597</v>
      </c>
      <c r="D685" s="4" t="s">
        <v>1598</v>
      </c>
      <c r="E685" s="4" t="str">
        <f>HYPERLINK("http://dx.doi.org/10.1016/j.gfs.2021.100509","http://dx.doi.org/10.1016/j.gfs.2021.100509")</f>
        <v>http://dx.doi.org/10.1016/j.gfs.2021.100509</v>
      </c>
    </row>
    <row r="686" spans="1:5" x14ac:dyDescent="0.3">
      <c r="A686" s="3">
        <v>685</v>
      </c>
      <c r="B686" s="4" t="s">
        <v>1599</v>
      </c>
      <c r="C686" s="4" t="s">
        <v>1600</v>
      </c>
      <c r="D686" s="4" t="s">
        <v>23</v>
      </c>
      <c r="E686" s="4" t="str">
        <f>HYPERLINK("http://dx.doi.org/10.1016/j.uclim.2023.101639","http://dx.doi.org/10.1016/j.uclim.2023.101639")</f>
        <v>http://dx.doi.org/10.1016/j.uclim.2023.101639</v>
      </c>
    </row>
    <row r="687" spans="1:5" x14ac:dyDescent="0.3">
      <c r="A687" s="3">
        <v>686</v>
      </c>
      <c r="B687" s="4" t="s">
        <v>1601</v>
      </c>
      <c r="C687" s="4" t="s">
        <v>1602</v>
      </c>
      <c r="D687" s="4" t="s">
        <v>706</v>
      </c>
      <c r="E687" s="4" t="str">
        <f>HYPERLINK("http://dx.doi.org/10.3390/f12010009","http://dx.doi.org/10.3390/f12010009")</f>
        <v>http://dx.doi.org/10.3390/f12010009</v>
      </c>
    </row>
    <row r="688" spans="1:5" x14ac:dyDescent="0.3">
      <c r="A688" s="3">
        <v>687</v>
      </c>
      <c r="B688" s="4" t="s">
        <v>1603</v>
      </c>
      <c r="C688" s="4" t="s">
        <v>1604</v>
      </c>
      <c r="D688" s="4" t="s">
        <v>1605</v>
      </c>
      <c r="E688" s="4" t="str">
        <f>HYPERLINK("http://dx.doi.org/10.1109/ACCESS.2024.3380830","http://dx.doi.org/10.1109/ACCESS.2024.3380830")</f>
        <v>http://dx.doi.org/10.1109/ACCESS.2024.3380830</v>
      </c>
    </row>
    <row r="689" spans="1:5" x14ac:dyDescent="0.3">
      <c r="A689" s="3">
        <v>688</v>
      </c>
      <c r="B689" s="4" t="s">
        <v>1606</v>
      </c>
      <c r="C689" s="4" t="s">
        <v>1607</v>
      </c>
      <c r="D689" s="4" t="s">
        <v>64</v>
      </c>
      <c r="E689" s="4" t="str">
        <f>HYPERLINK("http://dx.doi.org/10.1080/14693062.2014.859501","http://dx.doi.org/10.1080/14693062.2014.859501")</f>
        <v>http://dx.doi.org/10.1080/14693062.2014.859501</v>
      </c>
    </row>
    <row r="690" spans="1:5" x14ac:dyDescent="0.3">
      <c r="A690" s="3">
        <v>689</v>
      </c>
      <c r="B690" s="4" t="s">
        <v>1608</v>
      </c>
      <c r="C690" s="4" t="s">
        <v>1609</v>
      </c>
      <c r="D690" s="4" t="s">
        <v>116</v>
      </c>
      <c r="E690" s="4" t="str">
        <f>HYPERLINK("http://dx.doi.org/10.1002/wcc.901","http://dx.doi.org/10.1002/wcc.901")</f>
        <v>http://dx.doi.org/10.1002/wcc.901</v>
      </c>
    </row>
    <row r="691" spans="1:5" x14ac:dyDescent="0.3">
      <c r="A691" s="3">
        <v>690</v>
      </c>
      <c r="B691" s="4" t="s">
        <v>1610</v>
      </c>
      <c r="C691" s="4" t="s">
        <v>1611</v>
      </c>
      <c r="D691" s="4" t="s">
        <v>29</v>
      </c>
      <c r="E691" s="4" t="str">
        <f>HYPERLINK("http://dx.doi.org/10.1016/j.envsci.2023.05.004","http://dx.doi.org/10.1016/j.envsci.2023.05.004")</f>
        <v>http://dx.doi.org/10.1016/j.envsci.2023.05.004</v>
      </c>
    </row>
    <row r="692" spans="1:5" x14ac:dyDescent="0.3">
      <c r="A692" s="3">
        <v>691</v>
      </c>
      <c r="B692" s="4" t="s">
        <v>1612</v>
      </c>
      <c r="C692" s="4" t="s">
        <v>1613</v>
      </c>
      <c r="D692" s="4" t="s">
        <v>29</v>
      </c>
      <c r="E692" s="4" t="str">
        <f>HYPERLINK("http://dx.doi.org/10.1016/j.envsci.2016.02.006","http://dx.doi.org/10.1016/j.envsci.2016.02.006")</f>
        <v>http://dx.doi.org/10.1016/j.envsci.2016.02.006</v>
      </c>
    </row>
    <row r="693" spans="1:5" x14ac:dyDescent="0.3">
      <c r="A693" s="3">
        <v>692</v>
      </c>
      <c r="B693" s="4" t="s">
        <v>1614</v>
      </c>
      <c r="C693" s="4" t="s">
        <v>1615</v>
      </c>
      <c r="D693" s="4" t="s">
        <v>1616</v>
      </c>
      <c r="E693" s="4" t="str">
        <f>HYPERLINK("http://dx.doi.org/10.3390/rel13040341","http://dx.doi.org/10.3390/rel13040341")</f>
        <v>http://dx.doi.org/10.3390/rel13040341</v>
      </c>
    </row>
    <row r="694" spans="1:5" x14ac:dyDescent="0.3">
      <c r="A694" s="3">
        <v>693</v>
      </c>
      <c r="B694" s="4" t="s">
        <v>1617</v>
      </c>
      <c r="C694" s="4" t="s">
        <v>1618</v>
      </c>
      <c r="D694" s="4" t="s">
        <v>207</v>
      </c>
      <c r="E694" s="4" t="str">
        <f>HYPERLINK("http://dx.doi.org/10.1007/s10113-014-0670-4","http://dx.doi.org/10.1007/s10113-014-0670-4")</f>
        <v>http://dx.doi.org/10.1007/s10113-014-0670-4</v>
      </c>
    </row>
    <row r="695" spans="1:5" x14ac:dyDescent="0.3">
      <c r="A695" s="3">
        <v>694</v>
      </c>
      <c r="B695" s="4" t="s">
        <v>1619</v>
      </c>
      <c r="C695" s="4" t="s">
        <v>1620</v>
      </c>
      <c r="D695" s="4" t="s">
        <v>1621</v>
      </c>
      <c r="E695" s="4" t="str">
        <f>HYPERLINK("http://dx.doi.org/10.1016/j.envres.2017.11.005","http://dx.doi.org/10.1016/j.envres.2017.11.005")</f>
        <v>http://dx.doi.org/10.1016/j.envres.2017.11.005</v>
      </c>
    </row>
    <row r="696" spans="1:5" x14ac:dyDescent="0.3">
      <c r="A696" s="3">
        <v>695</v>
      </c>
      <c r="B696" s="4" t="s">
        <v>1622</v>
      </c>
      <c r="C696" s="4" t="s">
        <v>1623</v>
      </c>
      <c r="D696" s="4" t="s">
        <v>202</v>
      </c>
      <c r="E696" s="4" t="str">
        <f>HYPERLINK("http://dx.doi.org/10.1080/09640568.2022.2082928","http://dx.doi.org/10.1080/09640568.2022.2082928")</f>
        <v>http://dx.doi.org/10.1080/09640568.2022.2082928</v>
      </c>
    </row>
    <row r="697" spans="1:5" x14ac:dyDescent="0.3">
      <c r="A697" s="3">
        <v>696</v>
      </c>
      <c r="B697" s="4" t="s">
        <v>549</v>
      </c>
      <c r="C697" s="4" t="s">
        <v>1624</v>
      </c>
      <c r="D697" s="4" t="s">
        <v>56</v>
      </c>
      <c r="E697" s="4" t="str">
        <f>HYPERLINK("http://dx.doi.org/10.1080/07352166.2020.1760721","http://dx.doi.org/10.1080/07352166.2020.1760721")</f>
        <v>http://dx.doi.org/10.1080/07352166.2020.1760721</v>
      </c>
    </row>
    <row r="698" spans="1:5" x14ac:dyDescent="0.3">
      <c r="A698" s="3">
        <v>697</v>
      </c>
      <c r="B698" s="4" t="s">
        <v>1625</v>
      </c>
      <c r="C698" s="4" t="s">
        <v>1626</v>
      </c>
      <c r="D698" s="4" t="s">
        <v>1627</v>
      </c>
      <c r="E698" s="4" t="str">
        <f>HYPERLINK("http://dx.doi.org/10.1002/ppp3.10513","http://dx.doi.org/10.1002/ppp3.10513")</f>
        <v>http://dx.doi.org/10.1002/ppp3.10513</v>
      </c>
    </row>
    <row r="699" spans="1:5" x14ac:dyDescent="0.3">
      <c r="A699" s="3">
        <v>698</v>
      </c>
      <c r="B699" s="4" t="s">
        <v>1628</v>
      </c>
      <c r="C699" s="4" t="s">
        <v>1629</v>
      </c>
      <c r="D699" s="4" t="s">
        <v>1621</v>
      </c>
      <c r="E699" s="4" t="str">
        <f>HYPERLINK("http://dx.doi.org/10.1016/j.envres.2023.116530","http://dx.doi.org/10.1016/j.envres.2023.116530")</f>
        <v>http://dx.doi.org/10.1016/j.envres.2023.116530</v>
      </c>
    </row>
    <row r="700" spans="1:5" x14ac:dyDescent="0.3">
      <c r="A700" s="3">
        <v>699</v>
      </c>
      <c r="B700" s="4" t="s">
        <v>1630</v>
      </c>
      <c r="C700" s="4" t="s">
        <v>1631</v>
      </c>
      <c r="D700" s="4" t="s">
        <v>285</v>
      </c>
      <c r="E700" s="4" t="str">
        <f>HYPERLINK("http://dx.doi.org/10.1016/j.crm.2024.100671","http://dx.doi.org/10.1016/j.crm.2024.100671")</f>
        <v>http://dx.doi.org/10.1016/j.crm.2024.100671</v>
      </c>
    </row>
    <row r="701" spans="1:5" x14ac:dyDescent="0.3">
      <c r="A701" s="3">
        <v>700</v>
      </c>
      <c r="B701" s="4" t="s">
        <v>1632</v>
      </c>
      <c r="C701" s="4" t="s">
        <v>1633</v>
      </c>
      <c r="D701" s="4" t="s">
        <v>34</v>
      </c>
      <c r="E701" s="4" t="str">
        <f>HYPERLINK("http://dx.doi.org/10.1016/j.landurbplan.2021.104237","http://dx.doi.org/10.1016/j.landurbplan.2021.104237")</f>
        <v>http://dx.doi.org/10.1016/j.landurbplan.2021.104237</v>
      </c>
    </row>
    <row r="702" spans="1:5" x14ac:dyDescent="0.3">
      <c r="A702" s="3">
        <v>701</v>
      </c>
      <c r="B702" s="4" t="s">
        <v>1634</v>
      </c>
      <c r="C702" s="4" t="s">
        <v>1635</v>
      </c>
      <c r="D702" s="4" t="s">
        <v>67</v>
      </c>
      <c r="E702" s="4" t="str">
        <f>HYPERLINK("http://dx.doi.org/10.1016/j.worlddev.2020.105282","http://dx.doi.org/10.1016/j.worlddev.2020.105282")</f>
        <v>http://dx.doi.org/10.1016/j.worlddev.2020.105282</v>
      </c>
    </row>
    <row r="703" spans="1:5" x14ac:dyDescent="0.3">
      <c r="A703" s="3">
        <v>702</v>
      </c>
      <c r="B703" s="4" t="s">
        <v>1636</v>
      </c>
      <c r="C703" s="4" t="s">
        <v>1637</v>
      </c>
      <c r="D703" s="4" t="s">
        <v>285</v>
      </c>
      <c r="E703" s="4" t="str">
        <f>HYPERLINK("http://dx.doi.org/10.1016/j.crm.2021.100291","http://dx.doi.org/10.1016/j.crm.2021.100291")</f>
        <v>http://dx.doi.org/10.1016/j.crm.2021.100291</v>
      </c>
    </row>
    <row r="704" spans="1:5" x14ac:dyDescent="0.3">
      <c r="A704" s="3">
        <v>703</v>
      </c>
      <c r="B704" s="4" t="s">
        <v>1638</v>
      </c>
      <c r="C704" s="4" t="s">
        <v>1639</v>
      </c>
      <c r="D704" s="4" t="s">
        <v>1640</v>
      </c>
      <c r="E704" s="4" t="str">
        <f>HYPERLINK("http://dx.doi.org/10.1016/j.anai.2024.04.018","http://dx.doi.org/10.1016/j.anai.2024.04.018")</f>
        <v>http://dx.doi.org/10.1016/j.anai.2024.04.018</v>
      </c>
    </row>
    <row r="705" spans="1:5" x14ac:dyDescent="0.3">
      <c r="A705" s="3">
        <v>704</v>
      </c>
      <c r="B705" s="4" t="s">
        <v>1641</v>
      </c>
      <c r="C705" s="4" t="s">
        <v>1642</v>
      </c>
      <c r="D705" s="4" t="s">
        <v>92</v>
      </c>
      <c r="E705" s="4" t="str">
        <f>HYPERLINK("http://dx.doi.org/10.1108/IJCCSM-12-2012-0071","http://dx.doi.org/10.1108/IJCCSM-12-2012-0071")</f>
        <v>http://dx.doi.org/10.1108/IJCCSM-12-2012-0071</v>
      </c>
    </row>
    <row r="706" spans="1:5" x14ac:dyDescent="0.3">
      <c r="A706" s="3">
        <v>705</v>
      </c>
      <c r="B706" s="4" t="s">
        <v>1643</v>
      </c>
      <c r="C706" s="4" t="s">
        <v>1644</v>
      </c>
      <c r="D706" s="4" t="s">
        <v>138</v>
      </c>
      <c r="E706" s="4" t="str">
        <f>HYPERLINK("http://dx.doi.org/10.1016/j.scs.2021.103458","http://dx.doi.org/10.1016/j.scs.2021.103458")</f>
        <v>http://dx.doi.org/10.1016/j.scs.2021.103458</v>
      </c>
    </row>
    <row r="707" spans="1:5" x14ac:dyDescent="0.3">
      <c r="A707" s="3">
        <v>706</v>
      </c>
      <c r="B707" s="4" t="s">
        <v>1645</v>
      </c>
      <c r="C707" s="4" t="s">
        <v>1646</v>
      </c>
      <c r="D707" s="4" t="s">
        <v>40</v>
      </c>
      <c r="E707" s="4" t="str">
        <f>HYPERLINK("http://dx.doi.org/10.3390/su13042311","http://dx.doi.org/10.3390/su13042311")</f>
        <v>http://dx.doi.org/10.3390/su13042311</v>
      </c>
    </row>
    <row r="708" spans="1:5" x14ac:dyDescent="0.3">
      <c r="A708" s="3">
        <v>707</v>
      </c>
      <c r="B708" s="4" t="s">
        <v>1647</v>
      </c>
      <c r="C708" s="4" t="s">
        <v>1648</v>
      </c>
      <c r="D708" s="4" t="s">
        <v>482</v>
      </c>
      <c r="E708" s="4" t="str">
        <f>HYPERLINK("http://dx.doi.org/10.1007/s11027-023-10088-z","http://dx.doi.org/10.1007/s11027-023-10088-z")</f>
        <v>http://dx.doi.org/10.1007/s11027-023-10088-z</v>
      </c>
    </row>
    <row r="709" spans="1:5" x14ac:dyDescent="0.3">
      <c r="A709" s="3">
        <v>708</v>
      </c>
      <c r="B709" s="4" t="s">
        <v>1649</v>
      </c>
      <c r="C709" s="4" t="s">
        <v>1650</v>
      </c>
      <c r="D709" s="4" t="s">
        <v>9</v>
      </c>
      <c r="E709" s="4" t="str">
        <f>HYPERLINK("http://dx.doi.org/10.1016/j.gloenvcha.2011.12.003","http://dx.doi.org/10.1016/j.gloenvcha.2011.12.003")</f>
        <v>http://dx.doi.org/10.1016/j.gloenvcha.2011.12.003</v>
      </c>
    </row>
    <row r="710" spans="1:5" x14ac:dyDescent="0.3">
      <c r="A710" s="3">
        <v>709</v>
      </c>
      <c r="B710" s="4" t="s">
        <v>1651</v>
      </c>
      <c r="C710" s="4" t="s">
        <v>1652</v>
      </c>
      <c r="D710" s="4" t="s">
        <v>1653</v>
      </c>
      <c r="E710" s="4" t="str">
        <f>HYPERLINK("http://dx.doi.org/10.1093/geront/gnad074","http://dx.doi.org/10.1093/geront/gnad074")</f>
        <v>http://dx.doi.org/10.1093/geront/gnad074</v>
      </c>
    </row>
    <row r="711" spans="1:5" x14ac:dyDescent="0.3">
      <c r="A711" s="3">
        <v>710</v>
      </c>
      <c r="B711" s="4" t="s">
        <v>1654</v>
      </c>
      <c r="C711" s="4" t="s">
        <v>1655</v>
      </c>
      <c r="D711" s="4" t="s">
        <v>1656</v>
      </c>
      <c r="E711" s="4" t="str">
        <f>HYPERLINK("http://dx.doi.org/10.1093/hr/uhad031","http://dx.doi.org/10.1093/hr/uhad031")</f>
        <v>http://dx.doi.org/10.1093/hr/uhad031</v>
      </c>
    </row>
    <row r="712" spans="1:5" x14ac:dyDescent="0.3">
      <c r="A712" s="3">
        <v>711</v>
      </c>
      <c r="B712" s="4" t="s">
        <v>1657</v>
      </c>
      <c r="C712" s="4" t="s">
        <v>1658</v>
      </c>
      <c r="D712" s="4" t="s">
        <v>421</v>
      </c>
      <c r="E712" s="4" t="str">
        <f>HYPERLINK("http://dx.doi.org/10.1016/j.biocon.2011.04.024","http://dx.doi.org/10.1016/j.biocon.2011.04.024")</f>
        <v>http://dx.doi.org/10.1016/j.biocon.2011.04.024</v>
      </c>
    </row>
    <row r="713" spans="1:5" x14ac:dyDescent="0.3">
      <c r="A713" s="3">
        <v>712</v>
      </c>
      <c r="B713" s="4" t="s">
        <v>1659</v>
      </c>
      <c r="C713" s="4" t="s">
        <v>1660</v>
      </c>
      <c r="D713" s="4" t="s">
        <v>1661</v>
      </c>
      <c r="E713" s="4" t="str">
        <f>HYPERLINK("http://dx.doi.org/10.1029/2023GH000809","http://dx.doi.org/10.1029/2023GH000809")</f>
        <v>http://dx.doi.org/10.1029/2023GH000809</v>
      </c>
    </row>
    <row r="714" spans="1:5" x14ac:dyDescent="0.3">
      <c r="A714" s="3">
        <v>713</v>
      </c>
      <c r="B714" s="4" t="s">
        <v>1662</v>
      </c>
      <c r="C714" s="4" t="s">
        <v>1663</v>
      </c>
      <c r="D714" s="4" t="s">
        <v>1009</v>
      </c>
      <c r="E714" s="4" t="str">
        <f>HYPERLINK("http://dx.doi.org/10.1111/jfr3.13014","http://dx.doi.org/10.1111/jfr3.13014")</f>
        <v>http://dx.doi.org/10.1111/jfr3.13014</v>
      </c>
    </row>
    <row r="715" spans="1:5" x14ac:dyDescent="0.3">
      <c r="A715" s="3">
        <v>714</v>
      </c>
      <c r="B715" s="4" t="s">
        <v>1664</v>
      </c>
      <c r="C715" s="4" t="s">
        <v>1665</v>
      </c>
      <c r="D715" s="4" t="s">
        <v>1666</v>
      </c>
      <c r="E715" s="4" t="str">
        <f>HYPERLINK("http://dx.doi.org/10.1016/j.aqrep.2021.100841","http://dx.doi.org/10.1016/j.aqrep.2021.100841")</f>
        <v>http://dx.doi.org/10.1016/j.aqrep.2021.100841</v>
      </c>
    </row>
    <row r="716" spans="1:5" x14ac:dyDescent="0.3">
      <c r="A716" s="3">
        <v>715</v>
      </c>
      <c r="B716" s="4" t="s">
        <v>1667</v>
      </c>
      <c r="C716" s="4" t="s">
        <v>1668</v>
      </c>
      <c r="D716" s="4" t="s">
        <v>896</v>
      </c>
      <c r="E716" s="4" t="str">
        <f>HYPERLINK("http://dx.doi.org/10.1029/2023EF003619","http://dx.doi.org/10.1029/2023EF003619")</f>
        <v>http://dx.doi.org/10.1029/2023EF003619</v>
      </c>
    </row>
    <row r="717" spans="1:5" x14ac:dyDescent="0.3">
      <c r="A717" s="3">
        <v>716</v>
      </c>
      <c r="B717" s="4" t="s">
        <v>1669</v>
      </c>
      <c r="C717" s="4" t="s">
        <v>1670</v>
      </c>
      <c r="D717" s="4" t="s">
        <v>46</v>
      </c>
      <c r="E717" s="4" t="str">
        <f>HYPERLINK("http://dx.doi.org/10.1007/s10584-021-03113-0","http://dx.doi.org/10.1007/s10584-021-03113-0")</f>
        <v>http://dx.doi.org/10.1007/s10584-021-03113-0</v>
      </c>
    </row>
    <row r="718" spans="1:5" x14ac:dyDescent="0.3">
      <c r="A718" s="3">
        <v>717</v>
      </c>
      <c r="B718" s="4" t="s">
        <v>1671</v>
      </c>
      <c r="C718" s="4" t="s">
        <v>1672</v>
      </c>
      <c r="D718" s="4" t="s">
        <v>207</v>
      </c>
      <c r="E718" s="4" t="str">
        <f>HYPERLINK("http://dx.doi.org/10.1007/s10113-019-01508-5","http://dx.doi.org/10.1007/s10113-019-01508-5")</f>
        <v>http://dx.doi.org/10.1007/s10113-019-01508-5</v>
      </c>
    </row>
    <row r="719" spans="1:5" x14ac:dyDescent="0.3">
      <c r="A719" s="3">
        <v>718</v>
      </c>
      <c r="B719" s="4" t="s">
        <v>1673</v>
      </c>
      <c r="C719" s="4" t="s">
        <v>1674</v>
      </c>
      <c r="D719" s="4" t="s">
        <v>1675</v>
      </c>
      <c r="E719" s="4" t="str">
        <f>HYPERLINK("http://dx.doi.org/10.1139/er-2022-0011","http://dx.doi.org/10.1139/er-2022-0011")</f>
        <v>http://dx.doi.org/10.1139/er-2022-0011</v>
      </c>
    </row>
    <row r="720" spans="1:5" x14ac:dyDescent="0.3">
      <c r="A720" s="3">
        <v>719</v>
      </c>
      <c r="B720" s="4" t="s">
        <v>1676</v>
      </c>
      <c r="C720" s="4" t="s">
        <v>1677</v>
      </c>
      <c r="D720" s="4" t="s">
        <v>1678</v>
      </c>
      <c r="E720" s="4" t="s">
        <v>167</v>
      </c>
    </row>
    <row r="721" spans="1:5" x14ac:dyDescent="0.3">
      <c r="A721" s="3">
        <v>720</v>
      </c>
      <c r="B721" s="4" t="s">
        <v>1679</v>
      </c>
      <c r="C721" s="4" t="s">
        <v>1680</v>
      </c>
      <c r="D721" s="4" t="s">
        <v>1681</v>
      </c>
      <c r="E721" s="4" t="str">
        <f>HYPERLINK("http://dx.doi.org/10.5194/nhess-21-2145-2021","http://dx.doi.org/10.5194/nhess-21-2145-2021")</f>
        <v>http://dx.doi.org/10.5194/nhess-21-2145-2021</v>
      </c>
    </row>
    <row r="722" spans="1:5" x14ac:dyDescent="0.3">
      <c r="A722" s="3">
        <v>721</v>
      </c>
      <c r="B722" s="4" t="s">
        <v>1682</v>
      </c>
      <c r="C722" s="4" t="s">
        <v>1683</v>
      </c>
      <c r="D722" s="4" t="s">
        <v>1684</v>
      </c>
      <c r="E722" s="4" t="str">
        <f>HYPERLINK("http://dx.doi.org/10.1080/19491247.2021.2007566","http://dx.doi.org/10.1080/19491247.2021.2007566")</f>
        <v>http://dx.doi.org/10.1080/19491247.2021.2007566</v>
      </c>
    </row>
    <row r="723" spans="1:5" x14ac:dyDescent="0.3">
      <c r="A723" s="3">
        <v>722</v>
      </c>
      <c r="B723" s="4" t="s">
        <v>1685</v>
      </c>
      <c r="C723" s="4" t="s">
        <v>1686</v>
      </c>
      <c r="D723" s="4" t="s">
        <v>751</v>
      </c>
      <c r="E723" s="4" t="str">
        <f>HYPERLINK("http://dx.doi.org/10.3390/ijerph19127502","http://dx.doi.org/10.3390/ijerph19127502")</f>
        <v>http://dx.doi.org/10.3390/ijerph19127502</v>
      </c>
    </row>
    <row r="724" spans="1:5" x14ac:dyDescent="0.3">
      <c r="A724" s="3">
        <v>723</v>
      </c>
      <c r="B724" s="4" t="s">
        <v>1687</v>
      </c>
      <c r="C724" s="4" t="s">
        <v>1688</v>
      </c>
      <c r="D724" s="4" t="s">
        <v>1328</v>
      </c>
      <c r="E724" s="4" t="str">
        <f>HYPERLINK("http://dx.doi.org/10.1073/pnas.2313191121","http://dx.doi.org/10.1073/pnas.2313191121")</f>
        <v>http://dx.doi.org/10.1073/pnas.2313191121</v>
      </c>
    </row>
    <row r="725" spans="1:5" x14ac:dyDescent="0.3">
      <c r="A725" s="3">
        <v>724</v>
      </c>
      <c r="B725" s="4" t="s">
        <v>1689</v>
      </c>
      <c r="C725" s="4" t="s">
        <v>1690</v>
      </c>
      <c r="D725" s="4" t="s">
        <v>207</v>
      </c>
      <c r="E725" s="4" t="str">
        <f>HYPERLINK("http://dx.doi.org/10.1007/s10113-016-1085-1","http://dx.doi.org/10.1007/s10113-016-1085-1")</f>
        <v>http://dx.doi.org/10.1007/s10113-016-1085-1</v>
      </c>
    </row>
    <row r="726" spans="1:5" x14ac:dyDescent="0.3">
      <c r="A726" s="3">
        <v>725</v>
      </c>
      <c r="B726" s="4" t="s">
        <v>1691</v>
      </c>
      <c r="C726" s="4" t="s">
        <v>1692</v>
      </c>
      <c r="D726" s="4" t="s">
        <v>185</v>
      </c>
      <c r="E726" s="4" t="str">
        <f>HYPERLINK("http://dx.doi.org/10.3389/fsufs.2023.1242665","http://dx.doi.org/10.3389/fsufs.2023.1242665")</f>
        <v>http://dx.doi.org/10.3389/fsufs.2023.1242665</v>
      </c>
    </row>
    <row r="727" spans="1:5" x14ac:dyDescent="0.3">
      <c r="A727" s="3">
        <v>726</v>
      </c>
      <c r="B727" s="4" t="s">
        <v>1693</v>
      </c>
      <c r="C727" s="4" t="s">
        <v>1694</v>
      </c>
      <c r="D727" s="4" t="s">
        <v>1695</v>
      </c>
      <c r="E727" s="4" t="str">
        <f>HYPERLINK("http://dx.doi.org/10.1525/elementa.2022.00151","http://dx.doi.org/10.1525/elementa.2022.00151")</f>
        <v>http://dx.doi.org/10.1525/elementa.2022.00151</v>
      </c>
    </row>
    <row r="728" spans="1:5" x14ac:dyDescent="0.3">
      <c r="A728" s="3">
        <v>727</v>
      </c>
      <c r="B728" s="4" t="s">
        <v>1696</v>
      </c>
      <c r="C728" s="4" t="s">
        <v>1697</v>
      </c>
      <c r="D728" s="4" t="s">
        <v>138</v>
      </c>
      <c r="E728" s="4" t="str">
        <f>HYPERLINK("http://dx.doi.org/10.1016/j.scs.2023.104910","http://dx.doi.org/10.1016/j.scs.2023.104910")</f>
        <v>http://dx.doi.org/10.1016/j.scs.2023.104910</v>
      </c>
    </row>
    <row r="729" spans="1:5" x14ac:dyDescent="0.3">
      <c r="A729" s="3">
        <v>728</v>
      </c>
      <c r="B729" s="4" t="s">
        <v>1698</v>
      </c>
      <c r="C729" s="4" t="s">
        <v>1699</v>
      </c>
      <c r="D729" s="4" t="s">
        <v>113</v>
      </c>
      <c r="E729" s="4" t="str">
        <f>HYPERLINK("http://dx.doi.org/10.1016/j.cliser.2024.100503","http://dx.doi.org/10.1016/j.cliser.2024.100503")</f>
        <v>http://dx.doi.org/10.1016/j.cliser.2024.100503</v>
      </c>
    </row>
    <row r="730" spans="1:5" x14ac:dyDescent="0.3">
      <c r="A730" s="3">
        <v>729</v>
      </c>
      <c r="B730" s="4" t="s">
        <v>1700</v>
      </c>
      <c r="C730" s="4" t="s">
        <v>1701</v>
      </c>
      <c r="D730" s="4" t="s">
        <v>664</v>
      </c>
      <c r="E730" s="4" t="str">
        <f>HYPERLINK("http://dx.doi.org/10.1007/s12571-021-01177-5","http://dx.doi.org/10.1007/s12571-021-01177-5")</f>
        <v>http://dx.doi.org/10.1007/s12571-021-01177-5</v>
      </c>
    </row>
    <row r="731" spans="1:5" x14ac:dyDescent="0.3">
      <c r="A731" s="3">
        <v>730</v>
      </c>
      <c r="B731" s="4" t="s">
        <v>1702</v>
      </c>
      <c r="C731" s="4" t="s">
        <v>1703</v>
      </c>
      <c r="D731" s="4" t="s">
        <v>98</v>
      </c>
      <c r="E731" s="4" t="str">
        <f>HYPERLINK("http://dx.doi.org/10.1016/j.landusepol.2016.12.015","http://dx.doi.org/10.1016/j.landusepol.2016.12.015")</f>
        <v>http://dx.doi.org/10.1016/j.landusepol.2016.12.015</v>
      </c>
    </row>
    <row r="732" spans="1:5" x14ac:dyDescent="0.3">
      <c r="A732" s="3">
        <v>731</v>
      </c>
      <c r="B732" s="4" t="s">
        <v>1704</v>
      </c>
      <c r="C732" s="4" t="s">
        <v>1705</v>
      </c>
      <c r="D732" s="4" t="s">
        <v>1706</v>
      </c>
      <c r="E732" s="4" t="str">
        <f>HYPERLINK("http://dx.doi.org/10.1002/ecy.1632","http://dx.doi.org/10.1002/ecy.1632")</f>
        <v>http://dx.doi.org/10.1002/ecy.1632</v>
      </c>
    </row>
    <row r="733" spans="1:5" x14ac:dyDescent="0.3">
      <c r="A733" s="3">
        <v>732</v>
      </c>
      <c r="B733" s="4" t="s">
        <v>1707</v>
      </c>
      <c r="C733" s="4" t="s">
        <v>1708</v>
      </c>
      <c r="D733" s="4" t="s">
        <v>241</v>
      </c>
      <c r="E733" s="4" t="str">
        <f>HYPERLINK("http://dx.doi.org/10.1016/j.ocecoaman.2020.105458","http://dx.doi.org/10.1016/j.ocecoaman.2020.105458")</f>
        <v>http://dx.doi.org/10.1016/j.ocecoaman.2020.105458</v>
      </c>
    </row>
    <row r="734" spans="1:5" x14ac:dyDescent="0.3">
      <c r="A734" s="3">
        <v>733</v>
      </c>
      <c r="B734" s="4" t="s">
        <v>1709</v>
      </c>
      <c r="C734" s="4" t="s">
        <v>1710</v>
      </c>
      <c r="D734" s="4" t="s">
        <v>1711</v>
      </c>
      <c r="E734" s="4" t="str">
        <f>HYPERLINK("http://dx.doi.org/10.1016/j.ecoinf.2023.102335","http://dx.doi.org/10.1016/j.ecoinf.2023.102335")</f>
        <v>http://dx.doi.org/10.1016/j.ecoinf.2023.102335</v>
      </c>
    </row>
    <row r="735" spans="1:5" x14ac:dyDescent="0.3">
      <c r="A735" s="3">
        <v>734</v>
      </c>
      <c r="B735" s="4" t="s">
        <v>1712</v>
      </c>
      <c r="C735" s="4" t="s">
        <v>1713</v>
      </c>
      <c r="D735" s="4" t="s">
        <v>1714</v>
      </c>
      <c r="E735" s="4" t="str">
        <f>HYPERLINK("http://dx.doi.org/10.1111/eva.13485","http://dx.doi.org/10.1111/eva.13485")</f>
        <v>http://dx.doi.org/10.1111/eva.13485</v>
      </c>
    </row>
    <row r="736" spans="1:5" x14ac:dyDescent="0.3">
      <c r="A736" s="3">
        <v>735</v>
      </c>
      <c r="B736" s="4" t="s">
        <v>1715</v>
      </c>
      <c r="C736" s="4" t="s">
        <v>1716</v>
      </c>
      <c r="D736" s="4" t="s">
        <v>1197</v>
      </c>
      <c r="E736" s="4" t="str">
        <f>HYPERLINK("http://dx.doi.org/10.1016/j.scitotenv.2021.145335","http://dx.doi.org/10.1016/j.scitotenv.2021.145335")</f>
        <v>http://dx.doi.org/10.1016/j.scitotenv.2021.145335</v>
      </c>
    </row>
    <row r="737" spans="1:5" x14ac:dyDescent="0.3">
      <c r="A737" s="3">
        <v>736</v>
      </c>
      <c r="B737" s="4" t="s">
        <v>1717</v>
      </c>
      <c r="C737" s="4" t="s">
        <v>1718</v>
      </c>
      <c r="D737" s="4" t="s">
        <v>482</v>
      </c>
      <c r="E737" s="4" t="str">
        <f>HYPERLINK("http://dx.doi.org/10.1007/s11027-024-10168-8","http://dx.doi.org/10.1007/s11027-024-10168-8")</f>
        <v>http://dx.doi.org/10.1007/s11027-024-10168-8</v>
      </c>
    </row>
    <row r="738" spans="1:5" x14ac:dyDescent="0.3">
      <c r="A738" s="3">
        <v>737</v>
      </c>
      <c r="B738" s="4" t="s">
        <v>1719</v>
      </c>
      <c r="C738" s="4" t="s">
        <v>1720</v>
      </c>
      <c r="D738" s="4" t="s">
        <v>1721</v>
      </c>
      <c r="E738" s="4" t="str">
        <f>HYPERLINK("http://dx.doi.org/10.1016/j.futures.2023.103216","http://dx.doi.org/10.1016/j.futures.2023.103216")</f>
        <v>http://dx.doi.org/10.1016/j.futures.2023.103216</v>
      </c>
    </row>
    <row r="739" spans="1:5" x14ac:dyDescent="0.3">
      <c r="A739" s="3">
        <v>738</v>
      </c>
      <c r="B739" s="4" t="s">
        <v>1722</v>
      </c>
      <c r="C739" s="4" t="s">
        <v>1723</v>
      </c>
      <c r="D739" s="4" t="s">
        <v>591</v>
      </c>
      <c r="E739" s="4" t="str">
        <f>HYPERLINK("http://dx.doi.org/10.1016/j.marpol.2018.06.001","http://dx.doi.org/10.1016/j.marpol.2018.06.001")</f>
        <v>http://dx.doi.org/10.1016/j.marpol.2018.06.001</v>
      </c>
    </row>
    <row r="740" spans="1:5" x14ac:dyDescent="0.3">
      <c r="A740" s="3">
        <v>739</v>
      </c>
      <c r="B740" s="4" t="s">
        <v>1724</v>
      </c>
      <c r="C740" s="4" t="s">
        <v>1725</v>
      </c>
      <c r="D740" s="4" t="s">
        <v>1726</v>
      </c>
      <c r="E740" s="4" t="str">
        <f>HYPERLINK("http://dx.doi.org/10.1007/s10021-015-9925-2","http://dx.doi.org/10.1007/s10021-015-9925-2")</f>
        <v>http://dx.doi.org/10.1007/s10021-015-9925-2</v>
      </c>
    </row>
    <row r="741" spans="1:5" x14ac:dyDescent="0.3">
      <c r="A741" s="3">
        <v>740</v>
      </c>
      <c r="B741" s="4" t="s">
        <v>1727</v>
      </c>
      <c r="C741" s="4" t="s">
        <v>1728</v>
      </c>
      <c r="D741" s="4" t="s">
        <v>457</v>
      </c>
      <c r="E741" s="4" t="str">
        <f>HYPERLINK("http://dx.doi.org/10.3389/fmars.2019.00556","http://dx.doi.org/10.3389/fmars.2019.00556")</f>
        <v>http://dx.doi.org/10.3389/fmars.2019.00556</v>
      </c>
    </row>
    <row r="742" spans="1:5" x14ac:dyDescent="0.3">
      <c r="A742" s="3">
        <v>741</v>
      </c>
      <c r="B742" s="4" t="s">
        <v>1729</v>
      </c>
      <c r="C742" s="4" t="s">
        <v>1730</v>
      </c>
      <c r="D742" s="4" t="s">
        <v>185</v>
      </c>
      <c r="E742" s="4" t="str">
        <f>HYPERLINK("http://dx.doi.org/10.3389/fsufs.2022.834867","http://dx.doi.org/10.3389/fsufs.2022.834867")</f>
        <v>http://dx.doi.org/10.3389/fsufs.2022.834867</v>
      </c>
    </row>
    <row r="743" spans="1:5" x14ac:dyDescent="0.3">
      <c r="A743" s="3">
        <v>742</v>
      </c>
      <c r="B743" s="4" t="s">
        <v>1731</v>
      </c>
      <c r="C743" s="4" t="s">
        <v>1732</v>
      </c>
      <c r="D743" s="4" t="s">
        <v>98</v>
      </c>
      <c r="E743" s="4" t="str">
        <f>HYPERLINK("http://dx.doi.org/10.1016/j.landusepol.2012.11.009","http://dx.doi.org/10.1016/j.landusepol.2012.11.009")</f>
        <v>http://dx.doi.org/10.1016/j.landusepol.2012.11.009</v>
      </c>
    </row>
    <row r="744" spans="1:5" x14ac:dyDescent="0.3">
      <c r="A744" s="3">
        <v>743</v>
      </c>
      <c r="B744" s="4" t="s">
        <v>1733</v>
      </c>
      <c r="C744" s="4" t="s">
        <v>1734</v>
      </c>
      <c r="D744" s="4" t="s">
        <v>1735</v>
      </c>
      <c r="E744" s="4" t="str">
        <f>HYPERLINK("http://dx.doi.org/10.1007/s11356-023-31331-9","http://dx.doi.org/10.1007/s11356-023-31331-9")</f>
        <v>http://dx.doi.org/10.1007/s11356-023-31331-9</v>
      </c>
    </row>
    <row r="745" spans="1:5" x14ac:dyDescent="0.3">
      <c r="A745" s="3">
        <v>744</v>
      </c>
      <c r="B745" s="4" t="s">
        <v>1736</v>
      </c>
      <c r="C745" s="4" t="s">
        <v>1737</v>
      </c>
      <c r="D745" s="4" t="s">
        <v>82</v>
      </c>
      <c r="E745" s="4" t="str">
        <f>HYPERLINK("http://dx.doi.org/10.1007/s11625-017-0428-2","http://dx.doi.org/10.1007/s11625-017-0428-2")</f>
        <v>http://dx.doi.org/10.1007/s11625-017-0428-2</v>
      </c>
    </row>
    <row r="746" spans="1:5" x14ac:dyDescent="0.3">
      <c r="A746" s="3">
        <v>745</v>
      </c>
      <c r="B746" s="4" t="s">
        <v>1738</v>
      </c>
      <c r="C746" s="4" t="s">
        <v>1739</v>
      </c>
      <c r="D746" s="4" t="s">
        <v>207</v>
      </c>
      <c r="E746" s="4" t="str">
        <f>HYPERLINK("http://dx.doi.org/10.1007/s10113-020-01674-x","http://dx.doi.org/10.1007/s10113-020-01674-x")</f>
        <v>http://dx.doi.org/10.1007/s10113-020-01674-x</v>
      </c>
    </row>
    <row r="747" spans="1:5" x14ac:dyDescent="0.3">
      <c r="A747" s="3">
        <v>746</v>
      </c>
      <c r="B747" s="4" t="s">
        <v>1740</v>
      </c>
      <c r="C747" s="4" t="s">
        <v>1741</v>
      </c>
      <c r="D747" s="4" t="s">
        <v>23</v>
      </c>
      <c r="E747" s="4" t="str">
        <f>HYPERLINK("http://dx.doi.org/10.1016/j.uclim.2023.101576","http://dx.doi.org/10.1016/j.uclim.2023.101576")</f>
        <v>http://dx.doi.org/10.1016/j.uclim.2023.101576</v>
      </c>
    </row>
    <row r="748" spans="1:5" x14ac:dyDescent="0.3">
      <c r="A748" s="3">
        <v>747</v>
      </c>
      <c r="B748" s="4" t="s">
        <v>1742</v>
      </c>
      <c r="C748" s="4" t="s">
        <v>1743</v>
      </c>
      <c r="D748" s="4" t="s">
        <v>444</v>
      </c>
      <c r="E748" s="4" t="str">
        <f>HYPERLINK("http://dx.doi.org/10.3390/w15152826","http://dx.doi.org/10.3390/w15152826")</f>
        <v>http://dx.doi.org/10.3390/w15152826</v>
      </c>
    </row>
    <row r="749" spans="1:5" x14ac:dyDescent="0.3">
      <c r="A749" s="3">
        <v>748</v>
      </c>
      <c r="B749" s="4" t="s">
        <v>1744</v>
      </c>
      <c r="C749" s="4" t="s">
        <v>1745</v>
      </c>
      <c r="D749" s="4" t="s">
        <v>914</v>
      </c>
      <c r="E749" s="4" t="str">
        <f>HYPERLINK("http://dx.doi.org/10.1016/j.ijdrr.2024.104488","http://dx.doi.org/10.1016/j.ijdrr.2024.104488")</f>
        <v>http://dx.doi.org/10.1016/j.ijdrr.2024.104488</v>
      </c>
    </row>
    <row r="750" spans="1:5" x14ac:dyDescent="0.3">
      <c r="A750" s="3">
        <v>749</v>
      </c>
      <c r="B750" s="4" t="s">
        <v>1746</v>
      </c>
      <c r="C750" s="4" t="s">
        <v>1747</v>
      </c>
      <c r="D750" s="4" t="s">
        <v>408</v>
      </c>
      <c r="E750" s="4" t="str">
        <f>HYPERLINK("http://dx.doi.org/10.1080/24694452.2021.1941746","http://dx.doi.org/10.1080/24694452.2021.1941746")</f>
        <v>http://dx.doi.org/10.1080/24694452.2021.1941746</v>
      </c>
    </row>
    <row r="751" spans="1:5" x14ac:dyDescent="0.3">
      <c r="A751" s="3">
        <v>750</v>
      </c>
      <c r="B751" s="4" t="s">
        <v>1748</v>
      </c>
      <c r="C751" s="4" t="s">
        <v>1749</v>
      </c>
      <c r="D751" s="4" t="s">
        <v>20</v>
      </c>
      <c r="E751" s="4" t="str">
        <f>HYPERLINK("http://dx.doi.org/10.1088/1748-9326/aba136","http://dx.doi.org/10.1088/1748-9326/aba136")</f>
        <v>http://dx.doi.org/10.1088/1748-9326/aba136</v>
      </c>
    </row>
    <row r="752" spans="1:5" x14ac:dyDescent="0.3">
      <c r="A752" s="3">
        <v>751</v>
      </c>
      <c r="B752" s="4" t="s">
        <v>1750</v>
      </c>
      <c r="C752" s="4" t="s">
        <v>1751</v>
      </c>
      <c r="D752" s="4" t="s">
        <v>751</v>
      </c>
      <c r="E752" s="4" t="str">
        <f>HYPERLINK("http://dx.doi.org/10.3390/ijerph192013665","http://dx.doi.org/10.3390/ijerph192013665")</f>
        <v>http://dx.doi.org/10.3390/ijerph192013665</v>
      </c>
    </row>
    <row r="753" spans="1:5" x14ac:dyDescent="0.3">
      <c r="A753" s="3">
        <v>752</v>
      </c>
      <c r="B753" s="4" t="s">
        <v>1752</v>
      </c>
      <c r="C753" s="4" t="s">
        <v>1753</v>
      </c>
      <c r="D753" s="4" t="s">
        <v>20</v>
      </c>
      <c r="E753" s="4" t="str">
        <f>HYPERLINK("http://dx.doi.org/10.1088/1748-9326/ad78ef","http://dx.doi.org/10.1088/1748-9326/ad78ef")</f>
        <v>http://dx.doi.org/10.1088/1748-9326/ad78ef</v>
      </c>
    </row>
    <row r="754" spans="1:5" x14ac:dyDescent="0.3">
      <c r="A754" s="3">
        <v>753</v>
      </c>
      <c r="B754" s="4" t="s">
        <v>1754</v>
      </c>
      <c r="C754" s="4" t="s">
        <v>1755</v>
      </c>
      <c r="D754" s="4" t="s">
        <v>1756</v>
      </c>
      <c r="E754" s="4" t="str">
        <f>HYPERLINK("http://dx.doi.org/10.1016/j.ijheh.2011.10.003","http://dx.doi.org/10.1016/j.ijheh.2011.10.003")</f>
        <v>http://dx.doi.org/10.1016/j.ijheh.2011.10.003</v>
      </c>
    </row>
    <row r="755" spans="1:5" x14ac:dyDescent="0.3">
      <c r="A755" s="3">
        <v>754</v>
      </c>
      <c r="B755" s="4" t="s">
        <v>1757</v>
      </c>
      <c r="C755" s="4" t="s">
        <v>1758</v>
      </c>
      <c r="D755" s="4" t="s">
        <v>40</v>
      </c>
      <c r="E755" s="4" t="str">
        <f>HYPERLINK("http://dx.doi.org/10.3390/su142214885","http://dx.doi.org/10.3390/su142214885")</f>
        <v>http://dx.doi.org/10.3390/su142214885</v>
      </c>
    </row>
    <row r="756" spans="1:5" x14ac:dyDescent="0.3">
      <c r="A756" s="3">
        <v>755</v>
      </c>
      <c r="B756" s="4" t="s">
        <v>1759</v>
      </c>
      <c r="C756" s="4" t="s">
        <v>1760</v>
      </c>
      <c r="D756" s="4" t="s">
        <v>29</v>
      </c>
      <c r="E756" s="4" t="str">
        <f>HYPERLINK("http://dx.doi.org/10.1016/j.envsci.2015.08.008","http://dx.doi.org/10.1016/j.envsci.2015.08.008")</f>
        <v>http://dx.doi.org/10.1016/j.envsci.2015.08.008</v>
      </c>
    </row>
    <row r="757" spans="1:5" x14ac:dyDescent="0.3">
      <c r="A757" s="3">
        <v>756</v>
      </c>
      <c r="B757" s="4" t="s">
        <v>1761</v>
      </c>
      <c r="C757" s="4" t="s">
        <v>1762</v>
      </c>
      <c r="D757" s="4" t="s">
        <v>1763</v>
      </c>
      <c r="E757" s="4" t="str">
        <f>HYPERLINK("http://dx.doi.org/10.3389/fpls.2020.00229","http://dx.doi.org/10.3389/fpls.2020.00229")</f>
        <v>http://dx.doi.org/10.3389/fpls.2020.00229</v>
      </c>
    </row>
    <row r="758" spans="1:5" x14ac:dyDescent="0.3">
      <c r="A758" s="3">
        <v>757</v>
      </c>
      <c r="B758" s="4" t="s">
        <v>1764</v>
      </c>
      <c r="C758" s="4" t="s">
        <v>1765</v>
      </c>
      <c r="D758" s="4" t="s">
        <v>1766</v>
      </c>
      <c r="E758" s="4" t="str">
        <f>HYPERLINK("http://dx.doi.org/10.1007/s11252-024-01561-x","http://dx.doi.org/10.1007/s11252-024-01561-x")</f>
        <v>http://dx.doi.org/10.1007/s11252-024-01561-x</v>
      </c>
    </row>
    <row r="759" spans="1:5" x14ac:dyDescent="0.3">
      <c r="A759" s="3">
        <v>758</v>
      </c>
      <c r="B759" s="4" t="s">
        <v>1767</v>
      </c>
      <c r="C759" s="4" t="s">
        <v>1768</v>
      </c>
      <c r="D759" s="4" t="s">
        <v>1769</v>
      </c>
      <c r="E759" s="4" t="str">
        <f>HYPERLINK("http://dx.doi.org/10.12854/erde-2019-453","http://dx.doi.org/10.12854/erde-2019-453")</f>
        <v>http://dx.doi.org/10.12854/erde-2019-453</v>
      </c>
    </row>
    <row r="760" spans="1:5" x14ac:dyDescent="0.3">
      <c r="A760" s="3">
        <v>759</v>
      </c>
      <c r="B760" s="4" t="s">
        <v>1770</v>
      </c>
      <c r="C760" s="4" t="s">
        <v>1771</v>
      </c>
      <c r="D760" s="4" t="s">
        <v>29</v>
      </c>
      <c r="E760" s="4" t="str">
        <f>HYPERLINK("http://dx.doi.org/10.1016/j.envsci.2018.12.034","http://dx.doi.org/10.1016/j.envsci.2018.12.034")</f>
        <v>http://dx.doi.org/10.1016/j.envsci.2018.12.034</v>
      </c>
    </row>
    <row r="761" spans="1:5" x14ac:dyDescent="0.3">
      <c r="A761" s="3">
        <v>760</v>
      </c>
      <c r="B761" s="4" t="s">
        <v>1772</v>
      </c>
      <c r="C761" s="4" t="s">
        <v>1773</v>
      </c>
      <c r="D761" s="4" t="s">
        <v>1774</v>
      </c>
      <c r="E761" s="4" t="str">
        <f>HYPERLINK("http://dx.doi.org/10.1186/1471-2458-14-1102","http://dx.doi.org/10.1186/1471-2458-14-1102")</f>
        <v>http://dx.doi.org/10.1186/1471-2458-14-1102</v>
      </c>
    </row>
    <row r="762" spans="1:5" x14ac:dyDescent="0.3">
      <c r="A762" s="3">
        <v>761</v>
      </c>
      <c r="B762" s="4" t="s">
        <v>1775</v>
      </c>
      <c r="C762" s="4" t="s">
        <v>1776</v>
      </c>
      <c r="D762" s="4" t="s">
        <v>207</v>
      </c>
      <c r="E762" s="4" t="str">
        <f>HYPERLINK("http://dx.doi.org/10.1007/s10113-015-0814-1","http://dx.doi.org/10.1007/s10113-015-0814-1")</f>
        <v>http://dx.doi.org/10.1007/s10113-015-0814-1</v>
      </c>
    </row>
    <row r="763" spans="1:5" x14ac:dyDescent="0.3">
      <c r="A763" s="3">
        <v>762</v>
      </c>
      <c r="B763" s="4" t="s">
        <v>1777</v>
      </c>
      <c r="C763" s="4" t="s">
        <v>1778</v>
      </c>
      <c r="D763" s="4" t="s">
        <v>46</v>
      </c>
      <c r="E763" s="4" t="str">
        <f>HYPERLINK("http://dx.doi.org/10.1007/s10584-022-03453-5","http://dx.doi.org/10.1007/s10584-022-03453-5")</f>
        <v>http://dx.doi.org/10.1007/s10584-022-03453-5</v>
      </c>
    </row>
    <row r="764" spans="1:5" x14ac:dyDescent="0.3">
      <c r="A764" s="3">
        <v>763</v>
      </c>
      <c r="B764" s="4" t="s">
        <v>1779</v>
      </c>
      <c r="C764" s="4" t="s">
        <v>1780</v>
      </c>
      <c r="D764" s="4" t="s">
        <v>1781</v>
      </c>
      <c r="E764" s="4" t="str">
        <f>HYPERLINK("http://dx.doi.org/10.1123/jpah.2024-0284","http://dx.doi.org/10.1123/jpah.2024-0284")</f>
        <v>http://dx.doi.org/10.1123/jpah.2024-0284</v>
      </c>
    </row>
    <row r="765" spans="1:5" x14ac:dyDescent="0.3">
      <c r="A765" s="3">
        <v>764</v>
      </c>
      <c r="B765" s="4" t="s">
        <v>1782</v>
      </c>
      <c r="C765" s="4" t="s">
        <v>1783</v>
      </c>
      <c r="D765" s="4" t="s">
        <v>1784</v>
      </c>
      <c r="E765" s="4" t="str">
        <f>HYPERLINK("http://dx.doi.org/10.1108/CAER-05-2023-0129","http://dx.doi.org/10.1108/CAER-05-2023-0129")</f>
        <v>http://dx.doi.org/10.1108/CAER-05-2023-0129</v>
      </c>
    </row>
    <row r="766" spans="1:5" x14ac:dyDescent="0.3">
      <c r="A766" s="3">
        <v>765</v>
      </c>
      <c r="B766" s="4" t="s">
        <v>1785</v>
      </c>
      <c r="C766" s="4" t="s">
        <v>1786</v>
      </c>
      <c r="D766" s="4" t="s">
        <v>939</v>
      </c>
      <c r="E766" s="4" t="str">
        <f>HYPERLINK("http://dx.doi.org/10.1016/j.ppees.2019.02.002","http://dx.doi.org/10.1016/j.ppees.2019.02.002")</f>
        <v>http://dx.doi.org/10.1016/j.ppees.2019.02.002</v>
      </c>
    </row>
    <row r="767" spans="1:5" x14ac:dyDescent="0.3">
      <c r="A767" s="3">
        <v>766</v>
      </c>
      <c r="B767" s="4" t="s">
        <v>1787</v>
      </c>
      <c r="C767" s="4" t="s">
        <v>1788</v>
      </c>
      <c r="D767" s="4" t="s">
        <v>1789</v>
      </c>
      <c r="E767" s="4" t="str">
        <f>HYPERLINK("http://dx.doi.org/10.1016/j.jhydrol.2017.12.002","http://dx.doi.org/10.1016/j.jhydrol.2017.12.002")</f>
        <v>http://dx.doi.org/10.1016/j.jhydrol.2017.12.002</v>
      </c>
    </row>
    <row r="768" spans="1:5" x14ac:dyDescent="0.3">
      <c r="A768" s="3">
        <v>767</v>
      </c>
      <c r="B768" s="4" t="s">
        <v>1790</v>
      </c>
      <c r="C768" s="4" t="s">
        <v>1791</v>
      </c>
      <c r="D768" s="4" t="s">
        <v>155</v>
      </c>
      <c r="E768" s="4" t="str">
        <f>HYPERLINK("http://dx.doi.org/10.5751/ES-13129-270208","http://dx.doi.org/10.5751/ES-13129-270208")</f>
        <v>http://dx.doi.org/10.5751/ES-13129-270208</v>
      </c>
    </row>
    <row r="769" spans="1:5" x14ac:dyDescent="0.3">
      <c r="A769" s="3">
        <v>768</v>
      </c>
      <c r="B769" s="4" t="s">
        <v>1792</v>
      </c>
      <c r="C769" s="4" t="s">
        <v>1793</v>
      </c>
      <c r="D769" s="4" t="s">
        <v>1794</v>
      </c>
      <c r="E769" s="4" t="str">
        <f>HYPERLINK("http://dx.doi.org/10.1142/S2382624X23400039","http://dx.doi.org/10.1142/S2382624X23400039")</f>
        <v>http://dx.doi.org/10.1142/S2382624X23400039</v>
      </c>
    </row>
    <row r="770" spans="1:5" x14ac:dyDescent="0.3">
      <c r="A770" s="3">
        <v>769</v>
      </c>
      <c r="B770" s="4" t="s">
        <v>1795</v>
      </c>
      <c r="C770" s="4" t="s">
        <v>1796</v>
      </c>
      <c r="D770" s="4" t="s">
        <v>185</v>
      </c>
      <c r="E770" s="4" t="str">
        <f>HYPERLINK("http://dx.doi.org/10.3389/fsufs.2020.00013","http://dx.doi.org/10.3389/fsufs.2020.00013")</f>
        <v>http://dx.doi.org/10.3389/fsufs.2020.00013</v>
      </c>
    </row>
    <row r="771" spans="1:5" x14ac:dyDescent="0.3">
      <c r="A771" s="3">
        <v>770</v>
      </c>
      <c r="B771" s="4" t="s">
        <v>1797</v>
      </c>
      <c r="C771" s="4" t="s">
        <v>1798</v>
      </c>
      <c r="D771" s="4" t="s">
        <v>832</v>
      </c>
      <c r="E771" s="4" t="str">
        <f>HYPERLINK("http://dx.doi.org/10.1016/j.buildenv.2022.109374","http://dx.doi.org/10.1016/j.buildenv.2022.109374")</f>
        <v>http://dx.doi.org/10.1016/j.buildenv.2022.109374</v>
      </c>
    </row>
    <row r="772" spans="1:5" x14ac:dyDescent="0.3">
      <c r="A772" s="3">
        <v>771</v>
      </c>
      <c r="B772" s="4" t="s">
        <v>1799</v>
      </c>
      <c r="C772" s="4" t="s">
        <v>1800</v>
      </c>
      <c r="D772" s="4" t="s">
        <v>1801</v>
      </c>
      <c r="E772" s="4" t="str">
        <f>HYPERLINK("http://dx.doi.org/10.1029/2011GL047207","http://dx.doi.org/10.1029/2011GL047207")</f>
        <v>http://dx.doi.org/10.1029/2011GL047207</v>
      </c>
    </row>
    <row r="773" spans="1:5" x14ac:dyDescent="0.3">
      <c r="A773" s="3">
        <v>772</v>
      </c>
      <c r="B773" s="4" t="s">
        <v>1802</v>
      </c>
      <c r="C773" s="4" t="s">
        <v>1803</v>
      </c>
      <c r="D773" s="4" t="s">
        <v>1766</v>
      </c>
      <c r="E773" s="4" t="str">
        <f>HYPERLINK("http://dx.doi.org/10.1007/s11252-024-01571-9","http://dx.doi.org/10.1007/s11252-024-01571-9")</f>
        <v>http://dx.doi.org/10.1007/s11252-024-01571-9</v>
      </c>
    </row>
    <row r="774" spans="1:5" x14ac:dyDescent="0.3">
      <c r="A774" s="3">
        <v>773</v>
      </c>
      <c r="B774" s="4" t="s">
        <v>1804</v>
      </c>
      <c r="C774" s="4" t="s">
        <v>1805</v>
      </c>
      <c r="D774" s="4" t="s">
        <v>1806</v>
      </c>
      <c r="E774" s="4" t="str">
        <f>HYPERLINK("http://dx.doi.org/10.1080/13504509.2023.2268577","http://dx.doi.org/10.1080/13504509.2023.2268577")</f>
        <v>http://dx.doi.org/10.1080/13504509.2023.2268577</v>
      </c>
    </row>
    <row r="775" spans="1:5" x14ac:dyDescent="0.3">
      <c r="A775" s="3">
        <v>774</v>
      </c>
      <c r="B775" s="4" t="s">
        <v>1807</v>
      </c>
      <c r="C775" s="4" t="s">
        <v>1808</v>
      </c>
      <c r="D775" s="4" t="s">
        <v>1774</v>
      </c>
      <c r="E775" s="4" t="str">
        <f>HYPERLINK("http://dx.doi.org/10.1186/s12889-020-10128-2","http://dx.doi.org/10.1186/s12889-020-10128-2")</f>
        <v>http://dx.doi.org/10.1186/s12889-020-10128-2</v>
      </c>
    </row>
    <row r="776" spans="1:5" x14ac:dyDescent="0.3">
      <c r="A776" s="3">
        <v>775</v>
      </c>
      <c r="B776" s="4" t="s">
        <v>1809</v>
      </c>
      <c r="C776" s="4" t="s">
        <v>1810</v>
      </c>
      <c r="D776" s="4" t="s">
        <v>444</v>
      </c>
      <c r="E776" s="4" t="str">
        <f>HYPERLINK("http://dx.doi.org/10.3390/w16152121","http://dx.doi.org/10.3390/w16152121")</f>
        <v>http://dx.doi.org/10.3390/w16152121</v>
      </c>
    </row>
    <row r="777" spans="1:5" x14ac:dyDescent="0.3">
      <c r="A777" s="3">
        <v>776</v>
      </c>
      <c r="B777" s="4" t="s">
        <v>1811</v>
      </c>
      <c r="C777" s="4" t="s">
        <v>1812</v>
      </c>
      <c r="D777" s="4" t="s">
        <v>896</v>
      </c>
      <c r="E777" s="4" t="str">
        <f>HYPERLINK("http://dx.doi.org/10.1029/2024EF004549","http://dx.doi.org/10.1029/2024EF004549")</f>
        <v>http://dx.doi.org/10.1029/2024EF004549</v>
      </c>
    </row>
    <row r="778" spans="1:5" x14ac:dyDescent="0.3">
      <c r="A778" s="3">
        <v>777</v>
      </c>
      <c r="B778" s="4" t="s">
        <v>1813</v>
      </c>
      <c r="C778" s="4" t="s">
        <v>1814</v>
      </c>
      <c r="D778" s="4" t="s">
        <v>40</v>
      </c>
      <c r="E778" s="4" t="str">
        <f>HYPERLINK("http://dx.doi.org/10.3390/su16229689","http://dx.doi.org/10.3390/su16229689")</f>
        <v>http://dx.doi.org/10.3390/su16229689</v>
      </c>
    </row>
    <row r="779" spans="1:5" x14ac:dyDescent="0.3">
      <c r="A779" s="3">
        <v>778</v>
      </c>
      <c r="B779" s="4" t="s">
        <v>1815</v>
      </c>
      <c r="C779" s="4" t="s">
        <v>1816</v>
      </c>
      <c r="D779" s="4" t="s">
        <v>694</v>
      </c>
      <c r="E779" s="4" t="str">
        <f>HYPERLINK("http://dx.doi.org/10.3389/fenvs.2022.958704","http://dx.doi.org/10.3389/fenvs.2022.958704")</f>
        <v>http://dx.doi.org/10.3389/fenvs.2022.958704</v>
      </c>
    </row>
    <row r="780" spans="1:5" x14ac:dyDescent="0.3">
      <c r="A780" s="3">
        <v>779</v>
      </c>
      <c r="B780" s="4" t="s">
        <v>1817</v>
      </c>
      <c r="C780" s="4" t="s">
        <v>1818</v>
      </c>
      <c r="D780" s="4" t="s">
        <v>896</v>
      </c>
      <c r="E780" s="4" t="str">
        <f>HYPERLINK("http://dx.doi.org/10.1029/2024EF004431","http://dx.doi.org/10.1029/2024EF004431")</f>
        <v>http://dx.doi.org/10.1029/2024EF004431</v>
      </c>
    </row>
    <row r="781" spans="1:5" x14ac:dyDescent="0.3">
      <c r="A781" s="3">
        <v>780</v>
      </c>
      <c r="B781" s="4" t="s">
        <v>1819</v>
      </c>
      <c r="C781" s="4" t="s">
        <v>1820</v>
      </c>
      <c r="D781" s="4" t="s">
        <v>9</v>
      </c>
      <c r="E781" s="4" t="str">
        <f>HYPERLINK("http://dx.doi.org/10.1016/j.gloenvcha.2024.102877","http://dx.doi.org/10.1016/j.gloenvcha.2024.102877")</f>
        <v>http://dx.doi.org/10.1016/j.gloenvcha.2024.102877</v>
      </c>
    </row>
    <row r="782" spans="1:5" x14ac:dyDescent="0.3">
      <c r="A782" s="3">
        <v>781</v>
      </c>
      <c r="B782" s="4" t="s">
        <v>1821</v>
      </c>
      <c r="C782" s="4" t="s">
        <v>1822</v>
      </c>
      <c r="D782" s="4" t="s">
        <v>64</v>
      </c>
      <c r="E782" s="4" t="str">
        <f>HYPERLINK("http://dx.doi.org/10.1080/14693062.2023.2184763","http://dx.doi.org/10.1080/14693062.2023.2184763")</f>
        <v>http://dx.doi.org/10.1080/14693062.2023.2184763</v>
      </c>
    </row>
    <row r="783" spans="1:5" x14ac:dyDescent="0.3">
      <c r="A783" s="3">
        <v>782</v>
      </c>
      <c r="B783" s="4" t="s">
        <v>1823</v>
      </c>
      <c r="C783" s="4" t="s">
        <v>1824</v>
      </c>
      <c r="D783" s="4" t="s">
        <v>64</v>
      </c>
      <c r="E783" s="4" t="str">
        <f>HYPERLINK("http://dx.doi.org/10.1080/14693062.2020.1863180","http://dx.doi.org/10.1080/14693062.2020.1863180")</f>
        <v>http://dx.doi.org/10.1080/14693062.2020.1863180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RDPL-005</dc:creator>
  <cp:lastModifiedBy>RDPL-005</cp:lastModifiedBy>
  <dcterms:created xsi:type="dcterms:W3CDTF">2025-12-07T14:22:19Z</dcterms:created>
  <dcterms:modified xsi:type="dcterms:W3CDTF">2025-12-07T14:23:16Z</dcterms:modified>
</cp:coreProperties>
</file>